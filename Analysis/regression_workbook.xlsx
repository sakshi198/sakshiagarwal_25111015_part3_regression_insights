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ITS Course\Capstone Project\business_analytics_assignment_datasets\part3\part3_regression_insights\Analysis\"/>
    </mc:Choice>
  </mc:AlternateContent>
  <bookViews>
    <workbookView xWindow="0" yWindow="0" windowWidth="10290" windowHeight="7515" firstSheet="3" activeTab="5"/>
  </bookViews>
  <sheets>
    <sheet name="store_performance" sheetId="1" r:id="rId1"/>
    <sheet name="Cleaned_store_performance" sheetId="3" r:id="rId2"/>
    <sheet name="Dummy_Variables" sheetId="4" r:id="rId3"/>
    <sheet name="Multiple Regression" sheetId="15" r:id="rId4"/>
    <sheet name="Sheet1" sheetId="14" r:id="rId5"/>
    <sheet name="Simple_regression_1st" sheetId="6" r:id="rId6"/>
    <sheet name="Simple_Regression_2nd" sheetId="12" r:id="rId7"/>
    <sheet name="Predictions_Residuals" sheetId="9" r:id="rId8"/>
    <sheet name="Model_Comparison" sheetId="11" r:id="rId9"/>
    <sheet name="data_dictionary" sheetId="2" r:id="rId10"/>
  </sheets>
  <definedNames>
    <definedName name="_xlnm._FilterDatabase" localSheetId="1" hidden="1">Cleaned_store_performance!$A$1:$N$321</definedName>
    <definedName name="_xlnm._FilterDatabase" localSheetId="2" hidden="1">Dummy_Variables!$A$1:$R$321</definedName>
  </definedNames>
  <calcPr calcId="152511"/>
</workbook>
</file>

<file path=xl/calcChain.xml><?xml version="1.0" encoding="utf-8"?>
<calcChain xmlns="http://schemas.openxmlformats.org/spreadsheetml/2006/main">
  <c r="N37" i="9" l="1"/>
  <c r="O37" i="9" s="1"/>
  <c r="P37" i="9" s="1"/>
  <c r="N58" i="9"/>
  <c r="O58" i="9" s="1"/>
  <c r="P58" i="9" s="1"/>
  <c r="N6" i="9"/>
  <c r="O6" i="9"/>
  <c r="P6" i="9" s="1"/>
  <c r="N31" i="9"/>
  <c r="O31" i="9" s="1"/>
  <c r="P31" i="9" s="1"/>
  <c r="N82" i="9"/>
  <c r="O82" i="9" s="1"/>
  <c r="P82" i="9" s="1"/>
  <c r="N97" i="9"/>
  <c r="O97" i="9" s="1"/>
  <c r="P97" i="9" s="1"/>
  <c r="N296" i="9"/>
  <c r="O296" i="9" s="1"/>
  <c r="P296" i="9" s="1"/>
  <c r="N315" i="9"/>
  <c r="O315" i="9" s="1"/>
  <c r="P315" i="9" s="1"/>
  <c r="N163" i="9"/>
  <c r="O163" i="9" s="1"/>
  <c r="P163" i="9" s="1"/>
  <c r="N143" i="9"/>
  <c r="O143" i="9" s="1"/>
  <c r="P143" i="9" s="1"/>
  <c r="N307" i="9"/>
  <c r="O307" i="9" s="1"/>
  <c r="P307" i="9" s="1"/>
  <c r="N192" i="9"/>
  <c r="O192" i="9" s="1"/>
  <c r="P192" i="9" s="1"/>
  <c r="N19" i="9"/>
  <c r="O19" i="9" s="1"/>
  <c r="P19" i="9" s="1"/>
  <c r="N91" i="9"/>
  <c r="O91" i="9" s="1"/>
  <c r="P91" i="9" s="1"/>
  <c r="N121" i="9"/>
  <c r="O121" i="9" s="1"/>
  <c r="P121" i="9" s="1"/>
  <c r="N65" i="9"/>
  <c r="O65" i="9" s="1"/>
  <c r="P65" i="9" s="1"/>
  <c r="N109" i="9"/>
  <c r="O109" i="9" s="1"/>
  <c r="P109" i="9" s="1"/>
  <c r="N48" i="9"/>
  <c r="O48" i="9" s="1"/>
  <c r="P48" i="9" s="1"/>
  <c r="N83" i="9"/>
  <c r="O83" i="9" s="1"/>
  <c r="P83" i="9" s="1"/>
  <c r="N4" i="9"/>
  <c r="O4" i="9" s="1"/>
  <c r="P4" i="9" s="1"/>
  <c r="N43" i="9"/>
  <c r="O43" i="9" s="1"/>
  <c r="P43" i="9" s="1"/>
  <c r="N81" i="9"/>
  <c r="O81" i="9" s="1"/>
  <c r="P81" i="9" s="1"/>
  <c r="N113" i="9"/>
  <c r="O113" i="9" s="1"/>
  <c r="P113" i="9" s="1"/>
  <c r="N155" i="9"/>
  <c r="O155" i="9" s="1"/>
  <c r="P155" i="9" s="1"/>
  <c r="N36" i="9"/>
  <c r="O36" i="9" s="1"/>
  <c r="P36" i="9" s="1"/>
  <c r="N189" i="9"/>
  <c r="O189" i="9" s="1"/>
  <c r="P189" i="9" s="1"/>
  <c r="N300" i="9"/>
  <c r="O300" i="9" s="1"/>
  <c r="P300" i="9" s="1"/>
  <c r="N10" i="9"/>
  <c r="O10" i="9" s="1"/>
  <c r="P10" i="9" s="1"/>
  <c r="N183" i="9"/>
  <c r="O183" i="9" s="1"/>
  <c r="P183" i="9" s="1"/>
  <c r="N42" i="9"/>
  <c r="O42" i="9" s="1"/>
  <c r="P42" i="9" s="1"/>
  <c r="N54" i="9"/>
  <c r="O54" i="9" s="1"/>
  <c r="P54" i="9" s="1"/>
  <c r="N11" i="9"/>
  <c r="O11" i="9" s="1"/>
  <c r="P11" i="9" s="1"/>
  <c r="N21" i="9"/>
  <c r="O21" i="9" s="1"/>
  <c r="P21" i="9" s="1"/>
  <c r="N126" i="9"/>
  <c r="O126" i="9" s="1"/>
  <c r="P126" i="9" s="1"/>
  <c r="N150" i="9"/>
  <c r="O150" i="9" s="1"/>
  <c r="P150" i="9" s="1"/>
  <c r="N279" i="9"/>
  <c r="O279" i="9" s="1"/>
  <c r="P279" i="9" s="1"/>
  <c r="N144" i="9"/>
  <c r="O144" i="9" s="1"/>
  <c r="P144" i="9" s="1"/>
  <c r="N199" i="9"/>
  <c r="O199" i="9" s="1"/>
  <c r="P199" i="9" s="1"/>
  <c r="N158" i="9"/>
  <c r="O158" i="9" s="1"/>
  <c r="P158" i="9" s="1"/>
  <c r="N190" i="9"/>
  <c r="O190" i="9" s="1"/>
  <c r="P190" i="9" s="1"/>
  <c r="N135" i="9"/>
  <c r="O135" i="9" s="1"/>
  <c r="P135" i="9" s="1"/>
  <c r="N257" i="9"/>
  <c r="O257" i="9" s="1"/>
  <c r="P257" i="9" s="1"/>
  <c r="N152" i="9"/>
  <c r="O152" i="9" s="1"/>
  <c r="P152" i="9" s="1"/>
  <c r="N7" i="9"/>
  <c r="O7" i="9" s="1"/>
  <c r="P7" i="9" s="1"/>
  <c r="N111" i="9"/>
  <c r="O111" i="9" s="1"/>
  <c r="P111" i="9" s="1"/>
  <c r="N203" i="9"/>
  <c r="O203" i="9" s="1"/>
  <c r="P203" i="9" s="1"/>
  <c r="N263" i="9"/>
  <c r="O263" i="9" s="1"/>
  <c r="P263" i="9" s="1"/>
  <c r="N27" i="9"/>
  <c r="O27" i="9" s="1"/>
  <c r="P27" i="9" s="1"/>
  <c r="N233" i="9"/>
  <c r="O233" i="9" s="1"/>
  <c r="P233" i="9" s="1"/>
  <c r="N191" i="9"/>
  <c r="O191" i="9" s="1"/>
  <c r="P191" i="9" s="1"/>
  <c r="N255" i="9"/>
  <c r="O255" i="9" s="1"/>
  <c r="P255" i="9" s="1"/>
  <c r="N77" i="9"/>
  <c r="O77" i="9" s="1"/>
  <c r="P77" i="9" s="1"/>
  <c r="N283" i="9"/>
  <c r="O283" i="9" s="1"/>
  <c r="P283" i="9" s="1"/>
  <c r="N249" i="9"/>
  <c r="O249" i="9" s="1"/>
  <c r="P249" i="9" s="1"/>
  <c r="N24" i="9"/>
  <c r="O24" i="9" s="1"/>
  <c r="P24" i="9" s="1"/>
  <c r="N99" i="9"/>
  <c r="O99" i="9" s="1"/>
  <c r="P99" i="9" s="1"/>
  <c r="N116" i="9"/>
  <c r="O116" i="9" s="1"/>
  <c r="P116" i="9" s="1"/>
  <c r="N84" i="9"/>
  <c r="O84" i="9" s="1"/>
  <c r="P84" i="9" s="1"/>
  <c r="N157" i="9"/>
  <c r="O157" i="9" s="1"/>
  <c r="P157" i="9" s="1"/>
  <c r="N294" i="9"/>
  <c r="O294" i="9" s="1"/>
  <c r="P294" i="9" s="1"/>
  <c r="N259" i="9"/>
  <c r="O259" i="9"/>
  <c r="P259" i="9" s="1"/>
  <c r="N181" i="9"/>
  <c r="O181" i="9" s="1"/>
  <c r="P181" i="9" s="1"/>
  <c r="N274" i="9"/>
  <c r="O274" i="9" s="1"/>
  <c r="P274" i="9" s="1"/>
  <c r="N112" i="9"/>
  <c r="O112" i="9" s="1"/>
  <c r="P112" i="9" s="1"/>
  <c r="N216" i="9"/>
  <c r="O216" i="9" s="1"/>
  <c r="P216" i="9" s="1"/>
  <c r="N5" i="9"/>
  <c r="O5" i="9" s="1"/>
  <c r="P5" i="9" s="1"/>
  <c r="N194" i="9"/>
  <c r="O194" i="9" s="1"/>
  <c r="P194" i="9" s="1"/>
  <c r="N290" i="9"/>
  <c r="O290" i="9" s="1"/>
  <c r="P290" i="9" s="1"/>
  <c r="N102" i="9"/>
  <c r="O102" i="9" s="1"/>
  <c r="P102" i="9" s="1"/>
  <c r="N223" i="9"/>
  <c r="O223" i="9" s="1"/>
  <c r="P223" i="9" s="1"/>
  <c r="N260" i="9"/>
  <c r="O260" i="9" s="1"/>
  <c r="P260" i="9" s="1"/>
  <c r="N174" i="9"/>
  <c r="O174" i="9" s="1"/>
  <c r="P174" i="9" s="1"/>
  <c r="N14" i="9"/>
  <c r="O14" i="9" s="1"/>
  <c r="P14" i="9" s="1"/>
  <c r="N244" i="9"/>
  <c r="O244" i="9" s="1"/>
  <c r="P244" i="9" s="1"/>
  <c r="N39" i="9"/>
  <c r="O39" i="9"/>
  <c r="P39" i="9" s="1"/>
  <c r="N153" i="9"/>
  <c r="O153" i="9" s="1"/>
  <c r="P153" i="9" s="1"/>
  <c r="N292" i="9"/>
  <c r="O292" i="9" s="1"/>
  <c r="P292" i="9" s="1"/>
  <c r="N308" i="9"/>
  <c r="O308" i="9" s="1"/>
  <c r="P308" i="9" s="1"/>
  <c r="N168" i="9"/>
  <c r="O168" i="9" s="1"/>
  <c r="P168" i="9" s="1"/>
  <c r="N115" i="9"/>
  <c r="O115" i="9" s="1"/>
  <c r="P115" i="9" s="1"/>
  <c r="N271" i="9"/>
  <c r="O271" i="9" s="1"/>
  <c r="P271" i="9" s="1"/>
  <c r="N305" i="9"/>
  <c r="O305" i="9" s="1"/>
  <c r="P305" i="9" s="1"/>
  <c r="N159" i="9"/>
  <c r="O159" i="9" s="1"/>
  <c r="P159" i="9" s="1"/>
  <c r="N186" i="9"/>
  <c r="O186" i="9" s="1"/>
  <c r="P186" i="9" s="1"/>
  <c r="N137" i="9"/>
  <c r="O137" i="9" s="1"/>
  <c r="P137" i="9" s="1"/>
  <c r="N236" i="9"/>
  <c r="O236" i="9" s="1"/>
  <c r="P236" i="9" s="1"/>
  <c r="N94" i="9"/>
  <c r="O94" i="9" s="1"/>
  <c r="P94" i="9" s="1"/>
  <c r="N215" i="9"/>
  <c r="O215" i="9" s="1"/>
  <c r="P215" i="9" s="1"/>
  <c r="N2" i="9"/>
  <c r="O2" i="9" s="1"/>
  <c r="P2" i="9" s="1"/>
  <c r="N217" i="9"/>
  <c r="O217" i="9" s="1"/>
  <c r="P217" i="9" s="1"/>
  <c r="N177" i="9"/>
  <c r="O177" i="9" s="1"/>
  <c r="P177" i="9" s="1"/>
  <c r="N86" i="9"/>
  <c r="O86" i="9" s="1"/>
  <c r="P86" i="9" s="1"/>
  <c r="N227" i="9"/>
  <c r="O227" i="9" s="1"/>
  <c r="P227" i="9" s="1"/>
  <c r="N246" i="9"/>
  <c r="O246" i="9" s="1"/>
  <c r="P246" i="9" s="1"/>
  <c r="N63" i="9"/>
  <c r="O63" i="9" s="1"/>
  <c r="P63" i="9" s="1"/>
  <c r="N281" i="9"/>
  <c r="O281" i="9" s="1"/>
  <c r="P281" i="9" s="1"/>
  <c r="N317" i="9"/>
  <c r="O317" i="9" s="1"/>
  <c r="P317" i="9" s="1"/>
  <c r="N119" i="9"/>
  <c r="O119" i="9" s="1"/>
  <c r="P119" i="9" s="1"/>
  <c r="N234" i="9"/>
  <c r="O234" i="9" s="1"/>
  <c r="P234" i="9" s="1"/>
  <c r="N228" i="9"/>
  <c r="O228" i="9"/>
  <c r="P228" i="9" s="1"/>
  <c r="N72" i="9"/>
  <c r="O72" i="9" s="1"/>
  <c r="P72" i="9" s="1"/>
  <c r="N175" i="9"/>
  <c r="O175" i="9" s="1"/>
  <c r="P175" i="9" s="1"/>
  <c r="N295" i="9"/>
  <c r="O295" i="9" s="1"/>
  <c r="P295" i="9" s="1"/>
  <c r="N287" i="9"/>
  <c r="O287" i="9" s="1"/>
  <c r="P287" i="9" s="1"/>
  <c r="N202" i="9"/>
  <c r="O202" i="9" s="1"/>
  <c r="P202" i="9" s="1"/>
  <c r="N314" i="9"/>
  <c r="N268" i="9"/>
  <c r="O268" i="9"/>
  <c r="P268" i="9" s="1"/>
  <c r="N238" i="9"/>
  <c r="O238" i="9" s="1"/>
  <c r="P238" i="9" s="1"/>
  <c r="N273" i="9"/>
  <c r="O273" i="9" s="1"/>
  <c r="P273" i="9" s="1"/>
  <c r="N70" i="9"/>
  <c r="O70" i="9" s="1"/>
  <c r="P70" i="9" s="1"/>
  <c r="N318" i="9"/>
  <c r="O318" i="9" s="1"/>
  <c r="P318" i="9" s="1"/>
  <c r="N297" i="9"/>
  <c r="O297" i="9" s="1"/>
  <c r="P297" i="9" s="1"/>
  <c r="N299" i="9"/>
  <c r="O299" i="9" s="1"/>
  <c r="P299" i="9" s="1"/>
  <c r="N127" i="9"/>
  <c r="O127" i="9" s="1"/>
  <c r="P127" i="9" s="1"/>
  <c r="N141" i="9"/>
  <c r="O141" i="9" s="1"/>
  <c r="P141" i="9" s="1"/>
  <c r="N62" i="9"/>
  <c r="O62" i="9" s="1"/>
  <c r="P62" i="9" s="1"/>
  <c r="N304" i="9"/>
  <c r="O304" i="9" s="1"/>
  <c r="P304" i="9" s="1"/>
  <c r="N51" i="9"/>
  <c r="O51" i="9" s="1"/>
  <c r="P51" i="9" s="1"/>
  <c r="N169" i="9"/>
  <c r="O169" i="9" s="1"/>
  <c r="P169" i="9" s="1"/>
  <c r="N30" i="9"/>
  <c r="O30" i="9" s="1"/>
  <c r="P30" i="9" s="1"/>
  <c r="N224" i="9"/>
  <c r="O224" i="9" s="1"/>
  <c r="P224" i="9" s="1"/>
  <c r="N44" i="9"/>
  <c r="O44" i="9" s="1"/>
  <c r="P44" i="9" s="1"/>
  <c r="N68" i="9"/>
  <c r="O68" i="9" s="1"/>
  <c r="P68" i="9" s="1"/>
  <c r="N289" i="9"/>
  <c r="O289" i="9" s="1"/>
  <c r="P289" i="9" s="1"/>
  <c r="N108" i="9"/>
  <c r="O108" i="9" s="1"/>
  <c r="P108" i="9" s="1"/>
  <c r="N254" i="9"/>
  <c r="O254" i="9" s="1"/>
  <c r="P254" i="9" s="1"/>
  <c r="N98" i="9"/>
  <c r="O98" i="9" s="1"/>
  <c r="P98" i="9" s="1"/>
  <c r="N114" i="9"/>
  <c r="O114" i="9" s="1"/>
  <c r="P114" i="9" s="1"/>
  <c r="N136" i="9"/>
  <c r="O136" i="9" s="1"/>
  <c r="P136" i="9" s="1"/>
  <c r="N8" i="9"/>
  <c r="O8" i="9" s="1"/>
  <c r="P8" i="9" s="1"/>
  <c r="N142" i="9"/>
  <c r="O142" i="9" s="1"/>
  <c r="P142" i="9" s="1"/>
  <c r="N28" i="9"/>
  <c r="O28" i="9"/>
  <c r="P28" i="9" s="1"/>
  <c r="N23" i="9"/>
  <c r="O23" i="9" s="1"/>
  <c r="P23" i="9" s="1"/>
  <c r="N59" i="9"/>
  <c r="O59" i="9" s="1"/>
  <c r="P59" i="9" s="1"/>
  <c r="N85" i="9"/>
  <c r="O85" i="9" s="1"/>
  <c r="P85" i="9" s="1"/>
  <c r="N12" i="9"/>
  <c r="O12" i="9" s="1"/>
  <c r="P12" i="9" s="1"/>
  <c r="N276" i="9"/>
  <c r="O276" i="9" s="1"/>
  <c r="P276" i="9" s="1"/>
  <c r="N272" i="9"/>
  <c r="O272" i="9" s="1"/>
  <c r="P272" i="9" s="1"/>
  <c r="N229" i="9"/>
  <c r="O229" i="9"/>
  <c r="P229" i="9" s="1"/>
  <c r="N269" i="9"/>
  <c r="O269" i="9" s="1"/>
  <c r="P269" i="9" s="1"/>
  <c r="N178" i="9"/>
  <c r="O178" i="9" s="1"/>
  <c r="P178" i="9" s="1"/>
  <c r="N258" i="9"/>
  <c r="O258" i="9" s="1"/>
  <c r="P258" i="9" s="1"/>
  <c r="N275" i="9"/>
  <c r="O275" i="9" s="1"/>
  <c r="P275" i="9" s="1"/>
  <c r="N96" i="9"/>
  <c r="O96" i="9" s="1"/>
  <c r="P96" i="9" s="1"/>
  <c r="N118" i="9"/>
  <c r="O118" i="9" s="1"/>
  <c r="P118" i="9" s="1"/>
  <c r="N179" i="9"/>
  <c r="O179" i="9" s="1"/>
  <c r="P179" i="9" s="1"/>
  <c r="N170" i="9"/>
  <c r="O170" i="9" s="1"/>
  <c r="P170" i="9" s="1"/>
  <c r="N235" i="9"/>
  <c r="O235" i="9" s="1"/>
  <c r="P235" i="9" s="1"/>
  <c r="N196" i="9"/>
  <c r="O196" i="9" s="1"/>
  <c r="P196" i="9" s="1"/>
  <c r="N209" i="9"/>
  <c r="O209" i="9" s="1"/>
  <c r="P209" i="9" s="1"/>
  <c r="N262" i="9"/>
  <c r="O262" i="9" s="1"/>
  <c r="P262" i="9" s="1"/>
  <c r="N90" i="9"/>
  <c r="O90" i="9" s="1"/>
  <c r="P90" i="9" s="1"/>
  <c r="N164" i="9"/>
  <c r="O164" i="9" s="1"/>
  <c r="P164" i="9" s="1"/>
  <c r="N45" i="9"/>
  <c r="O45" i="9" s="1"/>
  <c r="P45" i="9" s="1"/>
  <c r="N105" i="9"/>
  <c r="O105" i="9" s="1"/>
  <c r="P105" i="9" s="1"/>
  <c r="N132" i="9"/>
  <c r="O132" i="9" s="1"/>
  <c r="P132" i="9" s="1"/>
  <c r="N171" i="9"/>
  <c r="O171" i="9" s="1"/>
  <c r="P171" i="9" s="1"/>
  <c r="N306" i="9"/>
  <c r="O306" i="9" s="1"/>
  <c r="P306" i="9" s="1"/>
  <c r="N309" i="9"/>
  <c r="O309" i="9" s="1"/>
  <c r="P309" i="9" s="1"/>
  <c r="N55" i="9"/>
  <c r="O55" i="9" s="1"/>
  <c r="P55" i="9" s="1"/>
  <c r="N303" i="9"/>
  <c r="O303" i="9" s="1"/>
  <c r="P303" i="9" s="1"/>
  <c r="N160" i="9"/>
  <c r="O160" i="9" s="1"/>
  <c r="P160" i="9" s="1"/>
  <c r="N92" i="9"/>
  <c r="O92" i="9" s="1"/>
  <c r="P92" i="9" s="1"/>
  <c r="N288" i="9"/>
  <c r="O288" i="9"/>
  <c r="P288" i="9" s="1"/>
  <c r="N139" i="9"/>
  <c r="O139" i="9" s="1"/>
  <c r="P139" i="9" s="1"/>
  <c r="N123" i="9"/>
  <c r="O123" i="9" s="1"/>
  <c r="P123" i="9" s="1"/>
  <c r="N239" i="9"/>
  <c r="O239" i="9" s="1"/>
  <c r="P239" i="9" s="1"/>
  <c r="N87" i="9"/>
  <c r="O87" i="9" s="1"/>
  <c r="P87" i="9" s="1"/>
  <c r="N3" i="9"/>
  <c r="O3" i="9" s="1"/>
  <c r="P3" i="9" s="1"/>
  <c r="N221" i="9"/>
  <c r="O221" i="9" s="1"/>
  <c r="P221" i="9" s="1"/>
  <c r="N49" i="9"/>
  <c r="O49" i="9"/>
  <c r="P49" i="9" s="1"/>
  <c r="N240" i="9"/>
  <c r="O240" i="9" s="1"/>
  <c r="P240" i="9" s="1"/>
  <c r="N75" i="9"/>
  <c r="O75" i="9" s="1"/>
  <c r="P75" i="9" s="1"/>
  <c r="N165" i="9"/>
  <c r="O165" i="9"/>
  <c r="P165" i="9" s="1"/>
  <c r="N149" i="9"/>
  <c r="O149" i="9" s="1"/>
  <c r="P149" i="9" s="1"/>
  <c r="N204" i="9"/>
  <c r="O204" i="9" s="1"/>
  <c r="P204" i="9" s="1"/>
  <c r="N316" i="9"/>
  <c r="O316" i="9" s="1"/>
  <c r="P316" i="9" s="1"/>
  <c r="N218" i="9"/>
  <c r="O218" i="9" s="1"/>
  <c r="P218" i="9" s="1"/>
  <c r="N311" i="9"/>
  <c r="O311" i="9" s="1"/>
  <c r="P311" i="9" s="1"/>
  <c r="N110" i="9"/>
  <c r="O110" i="9" s="1"/>
  <c r="P110" i="9" s="1"/>
  <c r="N267" i="9"/>
  <c r="O267" i="9" s="1"/>
  <c r="P267" i="9" s="1"/>
  <c r="N79" i="9"/>
  <c r="O79" i="9" s="1"/>
  <c r="P79" i="9" s="1"/>
  <c r="N187" i="9"/>
  <c r="O187" i="9" s="1"/>
  <c r="P187" i="9" s="1"/>
  <c r="N73" i="9"/>
  <c r="O73" i="9" s="1"/>
  <c r="P73" i="9" s="1"/>
  <c r="N237" i="9"/>
  <c r="O237" i="9" s="1"/>
  <c r="P237" i="9" s="1"/>
  <c r="N210" i="9"/>
  <c r="O210" i="9"/>
  <c r="P210" i="9" s="1"/>
  <c r="N245" i="9"/>
  <c r="O245" i="9" s="1"/>
  <c r="P245" i="9" s="1"/>
  <c r="N242" i="9"/>
  <c r="O242" i="9" s="1"/>
  <c r="P242" i="9" s="1"/>
  <c r="N133" i="9"/>
  <c r="O133" i="9" s="1"/>
  <c r="P133" i="9" s="1"/>
  <c r="N125" i="9"/>
  <c r="O125" i="9" s="1"/>
  <c r="P125" i="9" s="1"/>
  <c r="N22" i="9"/>
  <c r="O22" i="9" s="1"/>
  <c r="P22" i="9" s="1"/>
  <c r="N64" i="9"/>
  <c r="O64" i="9" s="1"/>
  <c r="P64" i="9" s="1"/>
  <c r="N156" i="9"/>
  <c r="O156" i="9" s="1"/>
  <c r="P156" i="9" s="1"/>
  <c r="N131" i="9"/>
  <c r="O131" i="9" s="1"/>
  <c r="P131" i="9" s="1"/>
  <c r="N47" i="9"/>
  <c r="O47" i="9" s="1"/>
  <c r="P47" i="9" s="1"/>
  <c r="N231" i="9"/>
  <c r="O231" i="9" s="1"/>
  <c r="P231" i="9" s="1"/>
  <c r="N67" i="9"/>
  <c r="O67" i="9" s="1"/>
  <c r="P67" i="9" s="1"/>
  <c r="N32" i="9"/>
  <c r="O32" i="9" s="1"/>
  <c r="P32" i="9" s="1"/>
  <c r="N291" i="9"/>
  <c r="O291" i="9" s="1"/>
  <c r="P291" i="9" s="1"/>
  <c r="N29" i="9"/>
  <c r="O29" i="9" s="1"/>
  <c r="P29" i="9" s="1"/>
  <c r="N312" i="9"/>
  <c r="O312" i="9" s="1"/>
  <c r="P312" i="9" s="1"/>
  <c r="N15" i="9"/>
  <c r="O15" i="9" s="1"/>
  <c r="P15" i="9" s="1"/>
  <c r="N78" i="9"/>
  <c r="O78" i="9" s="1"/>
  <c r="P78" i="9" s="1"/>
  <c r="N117" i="9"/>
  <c r="O117" i="9" s="1"/>
  <c r="P117" i="9" s="1"/>
  <c r="N284" i="9"/>
  <c r="O284" i="9" s="1"/>
  <c r="P284" i="9" s="1"/>
  <c r="N38" i="9"/>
  <c r="O38" i="9"/>
  <c r="P38" i="9" s="1"/>
  <c r="N20" i="9"/>
  <c r="O20" i="9" s="1"/>
  <c r="P20" i="9" s="1"/>
  <c r="N128" i="9"/>
  <c r="O128" i="9" s="1"/>
  <c r="P128" i="9" s="1"/>
  <c r="N40" i="9"/>
  <c r="O40" i="9" s="1"/>
  <c r="P40" i="9" s="1"/>
  <c r="N74" i="9"/>
  <c r="O74" i="9" s="1"/>
  <c r="P74" i="9" s="1"/>
  <c r="N193" i="9"/>
  <c r="O193" i="9" s="1"/>
  <c r="P193" i="9" s="1"/>
  <c r="N207" i="9"/>
  <c r="O207" i="9" s="1"/>
  <c r="P207" i="9" s="1"/>
  <c r="N250" i="9"/>
  <c r="O250" i="9" s="1"/>
  <c r="P250" i="9" s="1"/>
  <c r="N52" i="9"/>
  <c r="O52" i="9" s="1"/>
  <c r="P52" i="9" s="1"/>
  <c r="N120" i="9"/>
  <c r="O120" i="9" s="1"/>
  <c r="P120" i="9" s="1"/>
  <c r="N282" i="9"/>
  <c r="O282" i="9" s="1"/>
  <c r="P282" i="9" s="1"/>
  <c r="N251" i="9"/>
  <c r="O251" i="9" s="1"/>
  <c r="P251" i="9" s="1"/>
  <c r="N298" i="9"/>
  <c r="O298" i="9"/>
  <c r="P298" i="9" s="1"/>
  <c r="N182" i="9"/>
  <c r="O182" i="9" s="1"/>
  <c r="P182" i="9" s="1"/>
  <c r="N154" i="9"/>
  <c r="O154" i="9" s="1"/>
  <c r="P154" i="9" s="1"/>
  <c r="N124" i="9"/>
  <c r="O124" i="9" s="1"/>
  <c r="P124" i="9" s="1"/>
  <c r="N188" i="9"/>
  <c r="O188" i="9" s="1"/>
  <c r="P188" i="9" s="1"/>
  <c r="N89" i="9"/>
  <c r="O89" i="9" s="1"/>
  <c r="P89" i="9" s="1"/>
  <c r="N252" i="9"/>
  <c r="O252" i="9" s="1"/>
  <c r="P252" i="9" s="1"/>
  <c r="N214" i="9"/>
  <c r="O214" i="9" s="1"/>
  <c r="P214" i="9" s="1"/>
  <c r="N232" i="9"/>
  <c r="O232" i="9" s="1"/>
  <c r="P232" i="9" s="1"/>
  <c r="N225" i="9"/>
  <c r="O225" i="9" s="1"/>
  <c r="P225" i="9" s="1"/>
  <c r="N18" i="9"/>
  <c r="O18" i="9" s="1"/>
  <c r="P18" i="9" s="1"/>
  <c r="N321" i="9"/>
  <c r="O321" i="9" s="1"/>
  <c r="P321" i="9" s="1"/>
  <c r="N46" i="9"/>
  <c r="O46" i="9" s="1"/>
  <c r="P46" i="9" s="1"/>
  <c r="N195" i="9"/>
  <c r="O195" i="9" s="1"/>
  <c r="P195" i="9" s="1"/>
  <c r="N206" i="9"/>
  <c r="O206" i="9" s="1"/>
  <c r="P206" i="9" s="1"/>
  <c r="N302" i="9"/>
  <c r="O302" i="9" s="1"/>
  <c r="P302" i="9" s="1"/>
  <c r="N107" i="9"/>
  <c r="O107" i="9" s="1"/>
  <c r="P107" i="9" s="1"/>
  <c r="N140" i="9"/>
  <c r="O140" i="9" s="1"/>
  <c r="P140" i="9" s="1"/>
  <c r="N34" i="9"/>
  <c r="O34" i="9" s="1"/>
  <c r="P34" i="9" s="1"/>
  <c r="N285" i="9"/>
  <c r="O285" i="9" s="1"/>
  <c r="P285" i="9" s="1"/>
  <c r="N247" i="9"/>
  <c r="O247" i="9"/>
  <c r="P247" i="9" s="1"/>
  <c r="N256" i="9"/>
  <c r="O256" i="9" s="1"/>
  <c r="P256" i="9" s="1"/>
  <c r="N310" i="9"/>
  <c r="O310" i="9" s="1"/>
  <c r="P310" i="9" s="1"/>
  <c r="N264" i="9"/>
  <c r="O264" i="9" s="1"/>
  <c r="P264" i="9" s="1"/>
  <c r="N248" i="9"/>
  <c r="O248" i="9" s="1"/>
  <c r="P248" i="9" s="1"/>
  <c r="N222" i="9"/>
  <c r="O222" i="9" s="1"/>
  <c r="P222" i="9" s="1"/>
  <c r="N212" i="9"/>
  <c r="O212" i="9" s="1"/>
  <c r="P212" i="9" s="1"/>
  <c r="N134" i="9"/>
  <c r="O134" i="9" s="1"/>
  <c r="P134" i="9" s="1"/>
  <c r="N100" i="9"/>
  <c r="O100" i="9" s="1"/>
  <c r="P100" i="9" s="1"/>
  <c r="N151" i="9"/>
  <c r="O151" i="9" s="1"/>
  <c r="P151" i="9" s="1"/>
  <c r="N211" i="9"/>
  <c r="O211" i="9" s="1"/>
  <c r="P211" i="9" s="1"/>
  <c r="N130" i="9"/>
  <c r="O130" i="9" s="1"/>
  <c r="P130" i="9" s="1"/>
  <c r="N162" i="9"/>
  <c r="O162" i="9"/>
  <c r="P162" i="9" s="1"/>
  <c r="N197" i="9"/>
  <c r="O197" i="9" s="1"/>
  <c r="P197" i="9" s="1"/>
  <c r="N265" i="9"/>
  <c r="O265" i="9" s="1"/>
  <c r="P265" i="9" s="1"/>
  <c r="N320" i="9"/>
  <c r="O320" i="9" s="1"/>
  <c r="P320" i="9" s="1"/>
  <c r="N270" i="9"/>
  <c r="O270" i="9" s="1"/>
  <c r="P270" i="9" s="1"/>
  <c r="N57" i="9"/>
  <c r="O57" i="9" s="1"/>
  <c r="P57" i="9" s="1"/>
  <c r="N286" i="9"/>
  <c r="O286" i="9" s="1"/>
  <c r="P286" i="9" s="1"/>
  <c r="N180" i="9"/>
  <c r="O180" i="9" s="1"/>
  <c r="P180" i="9" s="1"/>
  <c r="N172" i="9"/>
  <c r="O172" i="9" s="1"/>
  <c r="P172" i="9" s="1"/>
  <c r="N278" i="9"/>
  <c r="O278" i="9" s="1"/>
  <c r="P278" i="9" s="1"/>
  <c r="N176" i="9"/>
  <c r="O176" i="9" s="1"/>
  <c r="P176" i="9" s="1"/>
  <c r="N166" i="9"/>
  <c r="O166" i="9" s="1"/>
  <c r="P166" i="9" s="1"/>
  <c r="N280" i="9"/>
  <c r="O280" i="9" s="1"/>
  <c r="P280" i="9" s="1"/>
  <c r="N301" i="9"/>
  <c r="O301" i="9" s="1"/>
  <c r="P301" i="9" s="1"/>
  <c r="N106" i="9"/>
  <c r="O106" i="9"/>
  <c r="P106" i="9" s="1"/>
  <c r="N243" i="9"/>
  <c r="O243" i="9" s="1"/>
  <c r="P243" i="9" s="1"/>
  <c r="N226" i="9"/>
  <c r="O226" i="9"/>
  <c r="P226" i="9" s="1"/>
  <c r="N230" i="9"/>
  <c r="O230" i="9" s="1"/>
  <c r="P230" i="9" s="1"/>
  <c r="N13" i="9"/>
  <c r="O13" i="9" s="1"/>
  <c r="P13" i="9" s="1"/>
  <c r="N266" i="9"/>
  <c r="O266" i="9" s="1"/>
  <c r="P266" i="9" s="1"/>
  <c r="N122" i="9"/>
  <c r="O122" i="9" s="1"/>
  <c r="P122" i="9" s="1"/>
  <c r="N17" i="9"/>
  <c r="O17" i="9" s="1"/>
  <c r="P17" i="9" s="1"/>
  <c r="N219" i="9"/>
  <c r="O219" i="9" s="1"/>
  <c r="P219" i="9" s="1"/>
  <c r="N261" i="9"/>
  <c r="O261" i="9" s="1"/>
  <c r="P261" i="9" s="1"/>
  <c r="N161" i="9"/>
  <c r="O161" i="9" s="1"/>
  <c r="P161" i="9" s="1"/>
  <c r="N319" i="9"/>
  <c r="O319" i="9" s="1"/>
  <c r="P319" i="9" s="1"/>
  <c r="N80" i="9"/>
  <c r="O80" i="9" s="1"/>
  <c r="P80" i="9" s="1"/>
  <c r="N198" i="9"/>
  <c r="O198" i="9" s="1"/>
  <c r="P198" i="9" s="1"/>
  <c r="N173" i="9"/>
  <c r="O173" i="9" s="1"/>
  <c r="P173" i="9" s="1"/>
  <c r="N103" i="9"/>
  <c r="O103" i="9" s="1"/>
  <c r="P103" i="9" s="1"/>
  <c r="N16" i="9"/>
  <c r="O16" i="9" s="1"/>
  <c r="P16" i="9" s="1"/>
  <c r="N50" i="9"/>
  <c r="O50" i="9" s="1"/>
  <c r="P50" i="9" s="1"/>
  <c r="N208" i="9"/>
  <c r="O208" i="9" s="1"/>
  <c r="P208" i="9" s="1"/>
  <c r="N146" i="9"/>
  <c r="O146" i="9" s="1"/>
  <c r="P146" i="9" s="1"/>
  <c r="N25" i="9"/>
  <c r="O25" i="9" s="1"/>
  <c r="P25" i="9" s="1"/>
  <c r="N104" i="9"/>
  <c r="O104" i="9" s="1"/>
  <c r="P104" i="9" s="1"/>
  <c r="N71" i="9"/>
  <c r="O71" i="9" s="1"/>
  <c r="P71" i="9" s="1"/>
  <c r="N53" i="9"/>
  <c r="O53" i="9" s="1"/>
  <c r="P53" i="9" s="1"/>
  <c r="N253" i="9"/>
  <c r="O253" i="9" s="1"/>
  <c r="P253" i="9" s="1"/>
  <c r="N61" i="9"/>
  <c r="O61" i="9" s="1"/>
  <c r="P61" i="9" s="1"/>
  <c r="N277" i="9"/>
  <c r="O277" i="9" s="1"/>
  <c r="P277" i="9" s="1"/>
  <c r="N88" i="9"/>
  <c r="O88" i="9" s="1"/>
  <c r="P88" i="9" s="1"/>
  <c r="N56" i="9"/>
  <c r="O56" i="9" s="1"/>
  <c r="P56" i="9" s="1"/>
  <c r="N138" i="9"/>
  <c r="O138" i="9" s="1"/>
  <c r="P138" i="9" s="1"/>
  <c r="N184" i="9"/>
  <c r="O184" i="9" s="1"/>
  <c r="P184" i="9" s="1"/>
  <c r="N145" i="9"/>
  <c r="O145" i="9" s="1"/>
  <c r="P145" i="9" s="1"/>
  <c r="N201" i="9"/>
  <c r="O201" i="9" s="1"/>
  <c r="P201" i="9" s="1"/>
  <c r="N313" i="9"/>
  <c r="O313" i="9" s="1"/>
  <c r="P313" i="9"/>
  <c r="N148" i="9"/>
  <c r="O148" i="9" s="1"/>
  <c r="P148" i="9" s="1"/>
  <c r="N101" i="9"/>
  <c r="O101" i="9" s="1"/>
  <c r="P101" i="9" s="1"/>
  <c r="N60" i="9"/>
  <c r="O60" i="9" s="1"/>
  <c r="P60" i="9" s="1"/>
  <c r="N167" i="9"/>
  <c r="O167" i="9" s="1"/>
  <c r="P167" i="9" s="1"/>
  <c r="N69" i="9"/>
  <c r="O69" i="9" s="1"/>
  <c r="P69" i="9" s="1"/>
  <c r="N293" i="9"/>
  <c r="O293" i="9" s="1"/>
  <c r="P293" i="9" s="1"/>
  <c r="N241" i="9"/>
  <c r="O241" i="9" s="1"/>
  <c r="P241" i="9" s="1"/>
  <c r="N26" i="9"/>
  <c r="O26" i="9" s="1"/>
  <c r="P26" i="9" s="1"/>
  <c r="N200" i="9"/>
  <c r="O200" i="9" s="1"/>
  <c r="P200" i="9" s="1"/>
  <c r="N41" i="9"/>
  <c r="O41" i="9" s="1"/>
  <c r="P41" i="9" s="1"/>
  <c r="N129" i="9"/>
  <c r="O129" i="9" s="1"/>
  <c r="P129" i="9" s="1"/>
  <c r="N35" i="9"/>
  <c r="O35" i="9" s="1"/>
  <c r="P35" i="9" s="1"/>
  <c r="N205" i="9"/>
  <c r="O205" i="9" s="1"/>
  <c r="P205" i="9" s="1"/>
  <c r="N213" i="9"/>
  <c r="O213" i="9" s="1"/>
  <c r="P213" i="9" s="1"/>
  <c r="N185" i="9"/>
  <c r="O185" i="9" s="1"/>
  <c r="P185" i="9" s="1"/>
  <c r="N66" i="9"/>
  <c r="O66" i="9" s="1"/>
  <c r="P66" i="9" s="1"/>
  <c r="N147" i="9"/>
  <c r="O147" i="9"/>
  <c r="P147" i="9" s="1"/>
  <c r="N220" i="9"/>
  <c r="O220" i="9" s="1"/>
  <c r="P220" i="9" s="1"/>
  <c r="N9" i="9"/>
  <c r="O9" i="9" s="1"/>
  <c r="P9" i="9" s="1"/>
  <c r="N76" i="9"/>
  <c r="O76" i="9" s="1"/>
  <c r="P76" i="9" s="1"/>
  <c r="N95" i="9"/>
  <c r="O95" i="9" s="1"/>
  <c r="P95" i="9" s="1"/>
  <c r="N93" i="9"/>
  <c r="O93" i="9" s="1"/>
  <c r="P93" i="9" s="1"/>
  <c r="N33" i="9"/>
  <c r="O33" i="9" s="1"/>
  <c r="P33" i="9" s="1"/>
  <c r="O2" i="4"/>
  <c r="AA323" i="3"/>
  <c r="Y323" i="3"/>
  <c r="O314" i="9" l="1"/>
  <c r="P314" i="9" s="1"/>
  <c r="O3" i="4"/>
  <c r="P3" i="4"/>
  <c r="Q3" i="4"/>
  <c r="R3" i="4"/>
  <c r="O4" i="4"/>
  <c r="P4" i="4"/>
  <c r="Q4" i="4"/>
  <c r="R4" i="4"/>
  <c r="O5" i="4"/>
  <c r="P5" i="4"/>
  <c r="Q5" i="4"/>
  <c r="R5" i="4"/>
  <c r="O6" i="4"/>
  <c r="P6" i="4"/>
  <c r="Q6" i="4"/>
  <c r="R6" i="4"/>
  <c r="O7" i="4"/>
  <c r="P7" i="4"/>
  <c r="Q7" i="4"/>
  <c r="R7" i="4"/>
  <c r="O8" i="4"/>
  <c r="P8" i="4"/>
  <c r="Q8" i="4"/>
  <c r="R8" i="4"/>
  <c r="O9" i="4"/>
  <c r="P9" i="4"/>
  <c r="Q9" i="4"/>
  <c r="R9" i="4"/>
  <c r="O10" i="4"/>
  <c r="P10" i="4"/>
  <c r="Q10" i="4"/>
  <c r="R10" i="4"/>
  <c r="O11" i="4"/>
  <c r="P11" i="4"/>
  <c r="Q11" i="4"/>
  <c r="R11" i="4"/>
  <c r="O12" i="4"/>
  <c r="P12" i="4"/>
  <c r="Q12" i="4"/>
  <c r="R12" i="4"/>
  <c r="O13" i="4"/>
  <c r="P13" i="4"/>
  <c r="Q13" i="4"/>
  <c r="R13" i="4"/>
  <c r="O14" i="4"/>
  <c r="P14" i="4"/>
  <c r="Q14" i="4"/>
  <c r="R14" i="4"/>
  <c r="O15" i="4"/>
  <c r="P15" i="4"/>
  <c r="Q15" i="4"/>
  <c r="R15" i="4"/>
  <c r="O16" i="4"/>
  <c r="P16" i="4"/>
  <c r="Q16" i="4"/>
  <c r="R16" i="4"/>
  <c r="O17" i="4"/>
  <c r="P17" i="4"/>
  <c r="Q17" i="4"/>
  <c r="R17" i="4"/>
  <c r="O18" i="4"/>
  <c r="P18" i="4"/>
  <c r="Q18" i="4"/>
  <c r="R18" i="4"/>
  <c r="O19" i="4"/>
  <c r="P19" i="4"/>
  <c r="Q19" i="4"/>
  <c r="R19" i="4"/>
  <c r="O20" i="4"/>
  <c r="P20" i="4"/>
  <c r="Q20" i="4"/>
  <c r="R20" i="4"/>
  <c r="O21" i="4"/>
  <c r="P21" i="4"/>
  <c r="Q21" i="4"/>
  <c r="R21" i="4"/>
  <c r="O22" i="4"/>
  <c r="P22" i="4"/>
  <c r="Q22" i="4"/>
  <c r="R22" i="4"/>
  <c r="O23" i="4"/>
  <c r="P23" i="4"/>
  <c r="Q23" i="4"/>
  <c r="R23" i="4"/>
  <c r="O24" i="4"/>
  <c r="P24" i="4"/>
  <c r="Q24" i="4"/>
  <c r="R24" i="4"/>
  <c r="O25" i="4"/>
  <c r="P25" i="4"/>
  <c r="Q25" i="4"/>
  <c r="R25" i="4"/>
  <c r="O26" i="4"/>
  <c r="P26" i="4"/>
  <c r="Q26" i="4"/>
  <c r="R26" i="4"/>
  <c r="O27" i="4"/>
  <c r="P27" i="4"/>
  <c r="Q27" i="4"/>
  <c r="R27" i="4"/>
  <c r="O28" i="4"/>
  <c r="P28" i="4"/>
  <c r="Q28" i="4"/>
  <c r="R28" i="4"/>
  <c r="O29" i="4"/>
  <c r="P29" i="4"/>
  <c r="Q29" i="4"/>
  <c r="R29" i="4"/>
  <c r="O30" i="4"/>
  <c r="P30" i="4"/>
  <c r="Q30" i="4"/>
  <c r="R30" i="4"/>
  <c r="O31" i="4"/>
  <c r="P31" i="4"/>
  <c r="Q31" i="4"/>
  <c r="R31" i="4"/>
  <c r="O32" i="4"/>
  <c r="P32" i="4"/>
  <c r="Q32" i="4"/>
  <c r="R32" i="4"/>
  <c r="O33" i="4"/>
  <c r="P33" i="4"/>
  <c r="Q33" i="4"/>
  <c r="R33" i="4"/>
  <c r="O34" i="4"/>
  <c r="P34" i="4"/>
  <c r="Q34" i="4"/>
  <c r="R34" i="4"/>
  <c r="O35" i="4"/>
  <c r="P35" i="4"/>
  <c r="Q35" i="4"/>
  <c r="R35" i="4"/>
  <c r="O36" i="4"/>
  <c r="P36" i="4"/>
  <c r="Q36" i="4"/>
  <c r="R36" i="4"/>
  <c r="O37" i="4"/>
  <c r="P37" i="4"/>
  <c r="Q37" i="4"/>
  <c r="R37" i="4"/>
  <c r="O38" i="4"/>
  <c r="P38" i="4"/>
  <c r="Q38" i="4"/>
  <c r="R38" i="4"/>
  <c r="O39" i="4"/>
  <c r="P39" i="4"/>
  <c r="Q39" i="4"/>
  <c r="R39" i="4"/>
  <c r="O40" i="4"/>
  <c r="P40" i="4"/>
  <c r="Q40" i="4"/>
  <c r="R40" i="4"/>
  <c r="O41" i="4"/>
  <c r="P41" i="4"/>
  <c r="Q41" i="4"/>
  <c r="R41" i="4"/>
  <c r="O42" i="4"/>
  <c r="P42" i="4"/>
  <c r="Q42" i="4"/>
  <c r="R42" i="4"/>
  <c r="O43" i="4"/>
  <c r="P43" i="4"/>
  <c r="Q43" i="4"/>
  <c r="R43" i="4"/>
  <c r="O44" i="4"/>
  <c r="P44" i="4"/>
  <c r="Q44" i="4"/>
  <c r="R44" i="4"/>
  <c r="O45" i="4"/>
  <c r="P45" i="4"/>
  <c r="Q45" i="4"/>
  <c r="R45" i="4"/>
  <c r="O46" i="4"/>
  <c r="P46" i="4"/>
  <c r="Q46" i="4"/>
  <c r="R46" i="4"/>
  <c r="O47" i="4"/>
  <c r="P47" i="4"/>
  <c r="Q47" i="4"/>
  <c r="R47" i="4"/>
  <c r="O48" i="4"/>
  <c r="P48" i="4"/>
  <c r="Q48" i="4"/>
  <c r="R48" i="4"/>
  <c r="O49" i="4"/>
  <c r="P49" i="4"/>
  <c r="Q49" i="4"/>
  <c r="R49" i="4"/>
  <c r="O50" i="4"/>
  <c r="P50" i="4"/>
  <c r="Q50" i="4"/>
  <c r="R50" i="4"/>
  <c r="O51" i="4"/>
  <c r="P51" i="4"/>
  <c r="Q51" i="4"/>
  <c r="R51" i="4"/>
  <c r="O52" i="4"/>
  <c r="P52" i="4"/>
  <c r="Q52" i="4"/>
  <c r="R52" i="4"/>
  <c r="O53" i="4"/>
  <c r="P53" i="4"/>
  <c r="Q53" i="4"/>
  <c r="R53" i="4"/>
  <c r="O54" i="4"/>
  <c r="P54" i="4"/>
  <c r="Q54" i="4"/>
  <c r="R54" i="4"/>
  <c r="O55" i="4"/>
  <c r="P55" i="4"/>
  <c r="Q55" i="4"/>
  <c r="R55" i="4"/>
  <c r="O56" i="4"/>
  <c r="P56" i="4"/>
  <c r="Q56" i="4"/>
  <c r="R56" i="4"/>
  <c r="O57" i="4"/>
  <c r="P57" i="4"/>
  <c r="Q57" i="4"/>
  <c r="R57" i="4"/>
  <c r="O58" i="4"/>
  <c r="P58" i="4"/>
  <c r="Q58" i="4"/>
  <c r="R58" i="4"/>
  <c r="O59" i="4"/>
  <c r="P59" i="4"/>
  <c r="Q59" i="4"/>
  <c r="R59" i="4"/>
  <c r="O60" i="4"/>
  <c r="P60" i="4"/>
  <c r="Q60" i="4"/>
  <c r="R60" i="4"/>
  <c r="O61" i="4"/>
  <c r="P61" i="4"/>
  <c r="Q61" i="4"/>
  <c r="R61" i="4"/>
  <c r="O62" i="4"/>
  <c r="P62" i="4"/>
  <c r="Q62" i="4"/>
  <c r="R62" i="4"/>
  <c r="O63" i="4"/>
  <c r="P63" i="4"/>
  <c r="Q63" i="4"/>
  <c r="R63" i="4"/>
  <c r="O64" i="4"/>
  <c r="P64" i="4"/>
  <c r="Q64" i="4"/>
  <c r="R64" i="4"/>
  <c r="O65" i="4"/>
  <c r="P65" i="4"/>
  <c r="Q65" i="4"/>
  <c r="R65" i="4"/>
  <c r="O66" i="4"/>
  <c r="P66" i="4"/>
  <c r="Q66" i="4"/>
  <c r="R66" i="4"/>
  <c r="O67" i="4"/>
  <c r="P67" i="4"/>
  <c r="Q67" i="4"/>
  <c r="R67" i="4"/>
  <c r="O68" i="4"/>
  <c r="P68" i="4"/>
  <c r="Q68" i="4"/>
  <c r="R68" i="4"/>
  <c r="O69" i="4"/>
  <c r="P69" i="4"/>
  <c r="Q69" i="4"/>
  <c r="R69" i="4"/>
  <c r="O70" i="4"/>
  <c r="P70" i="4"/>
  <c r="Q70" i="4"/>
  <c r="R70" i="4"/>
  <c r="O71" i="4"/>
  <c r="P71" i="4"/>
  <c r="Q71" i="4"/>
  <c r="R71" i="4"/>
  <c r="O72" i="4"/>
  <c r="P72" i="4"/>
  <c r="Q72" i="4"/>
  <c r="R72" i="4"/>
  <c r="O73" i="4"/>
  <c r="P73" i="4"/>
  <c r="Q73" i="4"/>
  <c r="R73" i="4"/>
  <c r="O74" i="4"/>
  <c r="P74" i="4"/>
  <c r="Q74" i="4"/>
  <c r="R74" i="4"/>
  <c r="O75" i="4"/>
  <c r="P75" i="4"/>
  <c r="Q75" i="4"/>
  <c r="R75" i="4"/>
  <c r="O76" i="4"/>
  <c r="P76" i="4"/>
  <c r="Q76" i="4"/>
  <c r="R76" i="4"/>
  <c r="O77" i="4"/>
  <c r="P77" i="4"/>
  <c r="Q77" i="4"/>
  <c r="R77" i="4"/>
  <c r="O78" i="4"/>
  <c r="P78" i="4"/>
  <c r="Q78" i="4"/>
  <c r="R78" i="4"/>
  <c r="O79" i="4"/>
  <c r="P79" i="4"/>
  <c r="Q79" i="4"/>
  <c r="R79" i="4"/>
  <c r="O80" i="4"/>
  <c r="P80" i="4"/>
  <c r="Q80" i="4"/>
  <c r="R80" i="4"/>
  <c r="O81" i="4"/>
  <c r="P81" i="4"/>
  <c r="Q81" i="4"/>
  <c r="R81" i="4"/>
  <c r="O82" i="4"/>
  <c r="P82" i="4"/>
  <c r="Q82" i="4"/>
  <c r="R82" i="4"/>
  <c r="O83" i="4"/>
  <c r="P83" i="4"/>
  <c r="Q83" i="4"/>
  <c r="R83" i="4"/>
  <c r="O84" i="4"/>
  <c r="P84" i="4"/>
  <c r="Q84" i="4"/>
  <c r="R84" i="4"/>
  <c r="O85" i="4"/>
  <c r="P85" i="4"/>
  <c r="Q85" i="4"/>
  <c r="R85" i="4"/>
  <c r="O86" i="4"/>
  <c r="P86" i="4"/>
  <c r="Q86" i="4"/>
  <c r="R86" i="4"/>
  <c r="O87" i="4"/>
  <c r="P87" i="4"/>
  <c r="Q87" i="4"/>
  <c r="R87" i="4"/>
  <c r="O88" i="4"/>
  <c r="P88" i="4"/>
  <c r="Q88" i="4"/>
  <c r="R88" i="4"/>
  <c r="O89" i="4"/>
  <c r="P89" i="4"/>
  <c r="Q89" i="4"/>
  <c r="R89" i="4"/>
  <c r="O90" i="4"/>
  <c r="P90" i="4"/>
  <c r="Q90" i="4"/>
  <c r="R90" i="4"/>
  <c r="O91" i="4"/>
  <c r="P91" i="4"/>
  <c r="Q91" i="4"/>
  <c r="R91" i="4"/>
  <c r="O92" i="4"/>
  <c r="P92" i="4"/>
  <c r="Q92" i="4"/>
  <c r="R92" i="4"/>
  <c r="O93" i="4"/>
  <c r="P93" i="4"/>
  <c r="Q93" i="4"/>
  <c r="R93" i="4"/>
  <c r="O94" i="4"/>
  <c r="P94" i="4"/>
  <c r="Q94" i="4"/>
  <c r="R94" i="4"/>
  <c r="O95" i="4"/>
  <c r="P95" i="4"/>
  <c r="Q95" i="4"/>
  <c r="R95" i="4"/>
  <c r="O96" i="4"/>
  <c r="P96" i="4"/>
  <c r="Q96" i="4"/>
  <c r="R96" i="4"/>
  <c r="O97" i="4"/>
  <c r="P97" i="4"/>
  <c r="Q97" i="4"/>
  <c r="R97" i="4"/>
  <c r="O98" i="4"/>
  <c r="P98" i="4"/>
  <c r="Q98" i="4"/>
  <c r="R98" i="4"/>
  <c r="O99" i="4"/>
  <c r="P99" i="4"/>
  <c r="Q99" i="4"/>
  <c r="R99" i="4"/>
  <c r="O100" i="4"/>
  <c r="P100" i="4"/>
  <c r="Q100" i="4"/>
  <c r="R100" i="4"/>
  <c r="O101" i="4"/>
  <c r="P101" i="4"/>
  <c r="Q101" i="4"/>
  <c r="R101" i="4"/>
  <c r="O102" i="4"/>
  <c r="P102" i="4"/>
  <c r="Q102" i="4"/>
  <c r="R102" i="4"/>
  <c r="O103" i="4"/>
  <c r="P103" i="4"/>
  <c r="Q103" i="4"/>
  <c r="R103" i="4"/>
  <c r="O104" i="4"/>
  <c r="P104" i="4"/>
  <c r="Q104" i="4"/>
  <c r="R104" i="4"/>
  <c r="O105" i="4"/>
  <c r="P105" i="4"/>
  <c r="Q105" i="4"/>
  <c r="R105" i="4"/>
  <c r="O106" i="4"/>
  <c r="P106" i="4"/>
  <c r="Q106" i="4"/>
  <c r="R106" i="4"/>
  <c r="O107" i="4"/>
  <c r="P107" i="4"/>
  <c r="Q107" i="4"/>
  <c r="R107" i="4"/>
  <c r="O108" i="4"/>
  <c r="P108" i="4"/>
  <c r="Q108" i="4"/>
  <c r="R108" i="4"/>
  <c r="O109" i="4"/>
  <c r="P109" i="4"/>
  <c r="Q109" i="4"/>
  <c r="R109" i="4"/>
  <c r="O110" i="4"/>
  <c r="P110" i="4"/>
  <c r="Q110" i="4"/>
  <c r="R110" i="4"/>
  <c r="O111" i="4"/>
  <c r="P111" i="4"/>
  <c r="Q111" i="4"/>
  <c r="R111" i="4"/>
  <c r="O112" i="4"/>
  <c r="P112" i="4"/>
  <c r="Q112" i="4"/>
  <c r="R112" i="4"/>
  <c r="O113" i="4"/>
  <c r="P113" i="4"/>
  <c r="Q113" i="4"/>
  <c r="R113" i="4"/>
  <c r="O114" i="4"/>
  <c r="P114" i="4"/>
  <c r="Q114" i="4"/>
  <c r="R114" i="4"/>
  <c r="O115" i="4"/>
  <c r="P115" i="4"/>
  <c r="Q115" i="4"/>
  <c r="R115" i="4"/>
  <c r="O116" i="4"/>
  <c r="P116" i="4"/>
  <c r="Q116" i="4"/>
  <c r="R116" i="4"/>
  <c r="O117" i="4"/>
  <c r="P117" i="4"/>
  <c r="Q117" i="4"/>
  <c r="R117" i="4"/>
  <c r="O118" i="4"/>
  <c r="P118" i="4"/>
  <c r="Q118" i="4"/>
  <c r="R118" i="4"/>
  <c r="O119" i="4"/>
  <c r="P119" i="4"/>
  <c r="Q119" i="4"/>
  <c r="R119" i="4"/>
  <c r="O120" i="4"/>
  <c r="P120" i="4"/>
  <c r="Q120" i="4"/>
  <c r="R120" i="4"/>
  <c r="O121" i="4"/>
  <c r="P121" i="4"/>
  <c r="Q121" i="4"/>
  <c r="R121" i="4"/>
  <c r="O122" i="4"/>
  <c r="P122" i="4"/>
  <c r="Q122" i="4"/>
  <c r="R122" i="4"/>
  <c r="O123" i="4"/>
  <c r="P123" i="4"/>
  <c r="Q123" i="4"/>
  <c r="R123" i="4"/>
  <c r="O124" i="4"/>
  <c r="P124" i="4"/>
  <c r="Q124" i="4"/>
  <c r="R124" i="4"/>
  <c r="O125" i="4"/>
  <c r="P125" i="4"/>
  <c r="Q125" i="4"/>
  <c r="R125" i="4"/>
  <c r="O126" i="4"/>
  <c r="P126" i="4"/>
  <c r="Q126" i="4"/>
  <c r="R126" i="4"/>
  <c r="O127" i="4"/>
  <c r="P127" i="4"/>
  <c r="Q127" i="4"/>
  <c r="R127" i="4"/>
  <c r="O128" i="4"/>
  <c r="P128" i="4"/>
  <c r="Q128" i="4"/>
  <c r="R128" i="4"/>
  <c r="O129" i="4"/>
  <c r="P129" i="4"/>
  <c r="Q129" i="4"/>
  <c r="R129" i="4"/>
  <c r="O130" i="4"/>
  <c r="P130" i="4"/>
  <c r="Q130" i="4"/>
  <c r="R130" i="4"/>
  <c r="O131" i="4"/>
  <c r="P131" i="4"/>
  <c r="Q131" i="4"/>
  <c r="R131" i="4"/>
  <c r="O132" i="4"/>
  <c r="P132" i="4"/>
  <c r="Q132" i="4"/>
  <c r="R132" i="4"/>
  <c r="O133" i="4"/>
  <c r="P133" i="4"/>
  <c r="Q133" i="4"/>
  <c r="R133" i="4"/>
  <c r="O134" i="4"/>
  <c r="P134" i="4"/>
  <c r="Q134" i="4"/>
  <c r="R134" i="4"/>
  <c r="O135" i="4"/>
  <c r="P135" i="4"/>
  <c r="Q135" i="4"/>
  <c r="R135" i="4"/>
  <c r="O136" i="4"/>
  <c r="P136" i="4"/>
  <c r="Q136" i="4"/>
  <c r="R136" i="4"/>
  <c r="O137" i="4"/>
  <c r="P137" i="4"/>
  <c r="Q137" i="4"/>
  <c r="R137" i="4"/>
  <c r="O138" i="4"/>
  <c r="P138" i="4"/>
  <c r="Q138" i="4"/>
  <c r="R138" i="4"/>
  <c r="O139" i="4"/>
  <c r="P139" i="4"/>
  <c r="Q139" i="4"/>
  <c r="R139" i="4"/>
  <c r="O140" i="4"/>
  <c r="P140" i="4"/>
  <c r="Q140" i="4"/>
  <c r="R140" i="4"/>
  <c r="O141" i="4"/>
  <c r="P141" i="4"/>
  <c r="Q141" i="4"/>
  <c r="R141" i="4"/>
  <c r="O142" i="4"/>
  <c r="P142" i="4"/>
  <c r="Q142" i="4"/>
  <c r="R142" i="4"/>
  <c r="O143" i="4"/>
  <c r="P143" i="4"/>
  <c r="Q143" i="4"/>
  <c r="R143" i="4"/>
  <c r="O144" i="4"/>
  <c r="P144" i="4"/>
  <c r="Q144" i="4"/>
  <c r="R144" i="4"/>
  <c r="O145" i="4"/>
  <c r="P145" i="4"/>
  <c r="Q145" i="4"/>
  <c r="R145" i="4"/>
  <c r="O146" i="4"/>
  <c r="P146" i="4"/>
  <c r="Q146" i="4"/>
  <c r="R146" i="4"/>
  <c r="O147" i="4"/>
  <c r="P147" i="4"/>
  <c r="Q147" i="4"/>
  <c r="R147" i="4"/>
  <c r="O148" i="4"/>
  <c r="P148" i="4"/>
  <c r="Q148" i="4"/>
  <c r="R148" i="4"/>
  <c r="O149" i="4"/>
  <c r="P149" i="4"/>
  <c r="Q149" i="4"/>
  <c r="R149" i="4"/>
  <c r="O150" i="4"/>
  <c r="P150" i="4"/>
  <c r="Q150" i="4"/>
  <c r="R150" i="4"/>
  <c r="O151" i="4"/>
  <c r="P151" i="4"/>
  <c r="Q151" i="4"/>
  <c r="R151" i="4"/>
  <c r="O152" i="4"/>
  <c r="P152" i="4"/>
  <c r="Q152" i="4"/>
  <c r="R152" i="4"/>
  <c r="O153" i="4"/>
  <c r="P153" i="4"/>
  <c r="Q153" i="4"/>
  <c r="R153" i="4"/>
  <c r="O154" i="4"/>
  <c r="P154" i="4"/>
  <c r="Q154" i="4"/>
  <c r="R154" i="4"/>
  <c r="O155" i="4"/>
  <c r="P155" i="4"/>
  <c r="Q155" i="4"/>
  <c r="R155" i="4"/>
  <c r="O156" i="4"/>
  <c r="P156" i="4"/>
  <c r="Q156" i="4"/>
  <c r="R156" i="4"/>
  <c r="O157" i="4"/>
  <c r="P157" i="4"/>
  <c r="Q157" i="4"/>
  <c r="R157" i="4"/>
  <c r="O158" i="4"/>
  <c r="P158" i="4"/>
  <c r="Q158" i="4"/>
  <c r="R158" i="4"/>
  <c r="O159" i="4"/>
  <c r="P159" i="4"/>
  <c r="Q159" i="4"/>
  <c r="R159" i="4"/>
  <c r="O160" i="4"/>
  <c r="P160" i="4"/>
  <c r="Q160" i="4"/>
  <c r="R160" i="4"/>
  <c r="O161" i="4"/>
  <c r="P161" i="4"/>
  <c r="Q161" i="4"/>
  <c r="R161" i="4"/>
  <c r="O162" i="4"/>
  <c r="P162" i="4"/>
  <c r="Q162" i="4"/>
  <c r="R162" i="4"/>
  <c r="O163" i="4"/>
  <c r="P163" i="4"/>
  <c r="Q163" i="4"/>
  <c r="R163" i="4"/>
  <c r="O164" i="4"/>
  <c r="P164" i="4"/>
  <c r="Q164" i="4"/>
  <c r="R164" i="4"/>
  <c r="O165" i="4"/>
  <c r="P165" i="4"/>
  <c r="Q165" i="4"/>
  <c r="R165" i="4"/>
  <c r="O166" i="4"/>
  <c r="P166" i="4"/>
  <c r="Q166" i="4"/>
  <c r="R166" i="4"/>
  <c r="O167" i="4"/>
  <c r="P167" i="4"/>
  <c r="Q167" i="4"/>
  <c r="R167" i="4"/>
  <c r="O168" i="4"/>
  <c r="P168" i="4"/>
  <c r="Q168" i="4"/>
  <c r="R168" i="4"/>
  <c r="O169" i="4"/>
  <c r="P169" i="4"/>
  <c r="Q169" i="4"/>
  <c r="R169" i="4"/>
  <c r="O170" i="4"/>
  <c r="P170" i="4"/>
  <c r="Q170" i="4"/>
  <c r="R170" i="4"/>
  <c r="O171" i="4"/>
  <c r="P171" i="4"/>
  <c r="Q171" i="4"/>
  <c r="R171" i="4"/>
  <c r="O172" i="4"/>
  <c r="P172" i="4"/>
  <c r="Q172" i="4"/>
  <c r="R172" i="4"/>
  <c r="O173" i="4"/>
  <c r="P173" i="4"/>
  <c r="Q173" i="4"/>
  <c r="R173" i="4"/>
  <c r="O174" i="4"/>
  <c r="P174" i="4"/>
  <c r="Q174" i="4"/>
  <c r="R174" i="4"/>
  <c r="O175" i="4"/>
  <c r="P175" i="4"/>
  <c r="Q175" i="4"/>
  <c r="R175" i="4"/>
  <c r="O176" i="4"/>
  <c r="P176" i="4"/>
  <c r="Q176" i="4"/>
  <c r="R176" i="4"/>
  <c r="O177" i="4"/>
  <c r="P177" i="4"/>
  <c r="Q177" i="4"/>
  <c r="R177" i="4"/>
  <c r="O178" i="4"/>
  <c r="P178" i="4"/>
  <c r="Q178" i="4"/>
  <c r="R178" i="4"/>
  <c r="O179" i="4"/>
  <c r="P179" i="4"/>
  <c r="Q179" i="4"/>
  <c r="R179" i="4"/>
  <c r="O180" i="4"/>
  <c r="P180" i="4"/>
  <c r="Q180" i="4"/>
  <c r="R180" i="4"/>
  <c r="O181" i="4"/>
  <c r="P181" i="4"/>
  <c r="Q181" i="4"/>
  <c r="R181" i="4"/>
  <c r="O182" i="4"/>
  <c r="P182" i="4"/>
  <c r="Q182" i="4"/>
  <c r="R182" i="4"/>
  <c r="O183" i="4"/>
  <c r="P183" i="4"/>
  <c r="Q183" i="4"/>
  <c r="R183" i="4"/>
  <c r="O184" i="4"/>
  <c r="P184" i="4"/>
  <c r="Q184" i="4"/>
  <c r="R184" i="4"/>
  <c r="O185" i="4"/>
  <c r="P185" i="4"/>
  <c r="Q185" i="4"/>
  <c r="R185" i="4"/>
  <c r="O186" i="4"/>
  <c r="P186" i="4"/>
  <c r="Q186" i="4"/>
  <c r="R186" i="4"/>
  <c r="O187" i="4"/>
  <c r="P187" i="4"/>
  <c r="Q187" i="4"/>
  <c r="R187" i="4"/>
  <c r="O188" i="4"/>
  <c r="P188" i="4"/>
  <c r="Q188" i="4"/>
  <c r="R188" i="4"/>
  <c r="O189" i="4"/>
  <c r="P189" i="4"/>
  <c r="Q189" i="4"/>
  <c r="R189" i="4"/>
  <c r="O190" i="4"/>
  <c r="P190" i="4"/>
  <c r="Q190" i="4"/>
  <c r="R190" i="4"/>
  <c r="O191" i="4"/>
  <c r="P191" i="4"/>
  <c r="Q191" i="4"/>
  <c r="R191" i="4"/>
  <c r="O192" i="4"/>
  <c r="P192" i="4"/>
  <c r="Q192" i="4"/>
  <c r="R192" i="4"/>
  <c r="O193" i="4"/>
  <c r="P193" i="4"/>
  <c r="Q193" i="4"/>
  <c r="R193" i="4"/>
  <c r="O194" i="4"/>
  <c r="P194" i="4"/>
  <c r="Q194" i="4"/>
  <c r="R194" i="4"/>
  <c r="O195" i="4"/>
  <c r="P195" i="4"/>
  <c r="Q195" i="4"/>
  <c r="R195" i="4"/>
  <c r="O196" i="4"/>
  <c r="P196" i="4"/>
  <c r="Q196" i="4"/>
  <c r="R196" i="4"/>
  <c r="O197" i="4"/>
  <c r="P197" i="4"/>
  <c r="Q197" i="4"/>
  <c r="R197" i="4"/>
  <c r="O198" i="4"/>
  <c r="P198" i="4"/>
  <c r="Q198" i="4"/>
  <c r="R198" i="4"/>
  <c r="O199" i="4"/>
  <c r="P199" i="4"/>
  <c r="Q199" i="4"/>
  <c r="R199" i="4"/>
  <c r="O200" i="4"/>
  <c r="P200" i="4"/>
  <c r="Q200" i="4"/>
  <c r="R200" i="4"/>
  <c r="O201" i="4"/>
  <c r="P201" i="4"/>
  <c r="Q201" i="4"/>
  <c r="R201" i="4"/>
  <c r="O202" i="4"/>
  <c r="P202" i="4"/>
  <c r="Q202" i="4"/>
  <c r="R202" i="4"/>
  <c r="O203" i="4"/>
  <c r="P203" i="4"/>
  <c r="Q203" i="4"/>
  <c r="R203" i="4"/>
  <c r="O204" i="4"/>
  <c r="P204" i="4"/>
  <c r="Q204" i="4"/>
  <c r="R204" i="4"/>
  <c r="O205" i="4"/>
  <c r="P205" i="4"/>
  <c r="Q205" i="4"/>
  <c r="R205" i="4"/>
  <c r="O206" i="4"/>
  <c r="P206" i="4"/>
  <c r="Q206" i="4"/>
  <c r="R206" i="4"/>
  <c r="O207" i="4"/>
  <c r="P207" i="4"/>
  <c r="Q207" i="4"/>
  <c r="R207" i="4"/>
  <c r="O208" i="4"/>
  <c r="P208" i="4"/>
  <c r="Q208" i="4"/>
  <c r="R208" i="4"/>
  <c r="O209" i="4"/>
  <c r="P209" i="4"/>
  <c r="Q209" i="4"/>
  <c r="R209" i="4"/>
  <c r="O210" i="4"/>
  <c r="P210" i="4"/>
  <c r="Q210" i="4"/>
  <c r="R210" i="4"/>
  <c r="O211" i="4"/>
  <c r="P211" i="4"/>
  <c r="Q211" i="4"/>
  <c r="R211" i="4"/>
  <c r="O212" i="4"/>
  <c r="P212" i="4"/>
  <c r="Q212" i="4"/>
  <c r="R212" i="4"/>
  <c r="O213" i="4"/>
  <c r="P213" i="4"/>
  <c r="Q213" i="4"/>
  <c r="R213" i="4"/>
  <c r="O214" i="4"/>
  <c r="P214" i="4"/>
  <c r="Q214" i="4"/>
  <c r="R214" i="4"/>
  <c r="O215" i="4"/>
  <c r="P215" i="4"/>
  <c r="Q215" i="4"/>
  <c r="R215" i="4"/>
  <c r="O216" i="4"/>
  <c r="P216" i="4"/>
  <c r="Q216" i="4"/>
  <c r="R216" i="4"/>
  <c r="O217" i="4"/>
  <c r="P217" i="4"/>
  <c r="Q217" i="4"/>
  <c r="R217" i="4"/>
  <c r="O218" i="4"/>
  <c r="P218" i="4"/>
  <c r="Q218" i="4"/>
  <c r="R218" i="4"/>
  <c r="O219" i="4"/>
  <c r="P219" i="4"/>
  <c r="Q219" i="4"/>
  <c r="R219" i="4"/>
  <c r="O220" i="4"/>
  <c r="P220" i="4"/>
  <c r="Q220" i="4"/>
  <c r="R220" i="4"/>
  <c r="O221" i="4"/>
  <c r="P221" i="4"/>
  <c r="Q221" i="4"/>
  <c r="R221" i="4"/>
  <c r="O222" i="4"/>
  <c r="P222" i="4"/>
  <c r="Q222" i="4"/>
  <c r="R222" i="4"/>
  <c r="O223" i="4"/>
  <c r="P223" i="4"/>
  <c r="Q223" i="4"/>
  <c r="R223" i="4"/>
  <c r="O224" i="4"/>
  <c r="P224" i="4"/>
  <c r="Q224" i="4"/>
  <c r="R224" i="4"/>
  <c r="O225" i="4"/>
  <c r="P225" i="4"/>
  <c r="Q225" i="4"/>
  <c r="R225" i="4"/>
  <c r="O226" i="4"/>
  <c r="P226" i="4"/>
  <c r="Q226" i="4"/>
  <c r="R226" i="4"/>
  <c r="O227" i="4"/>
  <c r="P227" i="4"/>
  <c r="Q227" i="4"/>
  <c r="R227" i="4"/>
  <c r="O228" i="4"/>
  <c r="P228" i="4"/>
  <c r="Q228" i="4"/>
  <c r="R228" i="4"/>
  <c r="O229" i="4"/>
  <c r="P229" i="4"/>
  <c r="Q229" i="4"/>
  <c r="R229" i="4"/>
  <c r="O230" i="4"/>
  <c r="P230" i="4"/>
  <c r="Q230" i="4"/>
  <c r="R230" i="4"/>
  <c r="O231" i="4"/>
  <c r="P231" i="4"/>
  <c r="Q231" i="4"/>
  <c r="R231" i="4"/>
  <c r="O232" i="4"/>
  <c r="P232" i="4"/>
  <c r="Q232" i="4"/>
  <c r="R232" i="4"/>
  <c r="O233" i="4"/>
  <c r="P233" i="4"/>
  <c r="Q233" i="4"/>
  <c r="R233" i="4"/>
  <c r="O234" i="4"/>
  <c r="P234" i="4"/>
  <c r="Q234" i="4"/>
  <c r="R234" i="4"/>
  <c r="O235" i="4"/>
  <c r="P235" i="4"/>
  <c r="Q235" i="4"/>
  <c r="R235" i="4"/>
  <c r="O236" i="4"/>
  <c r="P236" i="4"/>
  <c r="Q236" i="4"/>
  <c r="R236" i="4"/>
  <c r="O237" i="4"/>
  <c r="P237" i="4"/>
  <c r="Q237" i="4"/>
  <c r="R237" i="4"/>
  <c r="O238" i="4"/>
  <c r="P238" i="4"/>
  <c r="Q238" i="4"/>
  <c r="R238" i="4"/>
  <c r="O239" i="4"/>
  <c r="P239" i="4"/>
  <c r="Q239" i="4"/>
  <c r="R239" i="4"/>
  <c r="O240" i="4"/>
  <c r="P240" i="4"/>
  <c r="Q240" i="4"/>
  <c r="R240" i="4"/>
  <c r="O241" i="4"/>
  <c r="P241" i="4"/>
  <c r="Q241" i="4"/>
  <c r="R241" i="4"/>
  <c r="O242" i="4"/>
  <c r="P242" i="4"/>
  <c r="Q242" i="4"/>
  <c r="R242" i="4"/>
  <c r="O243" i="4"/>
  <c r="P243" i="4"/>
  <c r="Q243" i="4"/>
  <c r="R243" i="4"/>
  <c r="O244" i="4"/>
  <c r="P244" i="4"/>
  <c r="Q244" i="4"/>
  <c r="R244" i="4"/>
  <c r="O245" i="4"/>
  <c r="P245" i="4"/>
  <c r="Q245" i="4"/>
  <c r="R245" i="4"/>
  <c r="O246" i="4"/>
  <c r="P246" i="4"/>
  <c r="Q246" i="4"/>
  <c r="R246" i="4"/>
  <c r="O247" i="4"/>
  <c r="P247" i="4"/>
  <c r="Q247" i="4"/>
  <c r="R247" i="4"/>
  <c r="O248" i="4"/>
  <c r="P248" i="4"/>
  <c r="Q248" i="4"/>
  <c r="R248" i="4"/>
  <c r="O249" i="4"/>
  <c r="P249" i="4"/>
  <c r="Q249" i="4"/>
  <c r="R249" i="4"/>
  <c r="O250" i="4"/>
  <c r="P250" i="4"/>
  <c r="Q250" i="4"/>
  <c r="R250" i="4"/>
  <c r="O251" i="4"/>
  <c r="P251" i="4"/>
  <c r="Q251" i="4"/>
  <c r="R251" i="4"/>
  <c r="O252" i="4"/>
  <c r="P252" i="4"/>
  <c r="Q252" i="4"/>
  <c r="R252" i="4"/>
  <c r="O253" i="4"/>
  <c r="P253" i="4"/>
  <c r="Q253" i="4"/>
  <c r="R253" i="4"/>
  <c r="O254" i="4"/>
  <c r="P254" i="4"/>
  <c r="Q254" i="4"/>
  <c r="R254" i="4"/>
  <c r="O255" i="4"/>
  <c r="P255" i="4"/>
  <c r="Q255" i="4"/>
  <c r="R255" i="4"/>
  <c r="O256" i="4"/>
  <c r="P256" i="4"/>
  <c r="Q256" i="4"/>
  <c r="R256" i="4"/>
  <c r="O257" i="4"/>
  <c r="P257" i="4"/>
  <c r="Q257" i="4"/>
  <c r="R257" i="4"/>
  <c r="O258" i="4"/>
  <c r="P258" i="4"/>
  <c r="Q258" i="4"/>
  <c r="R258" i="4"/>
  <c r="O259" i="4"/>
  <c r="P259" i="4"/>
  <c r="Q259" i="4"/>
  <c r="R259" i="4"/>
  <c r="O260" i="4"/>
  <c r="P260" i="4"/>
  <c r="Q260" i="4"/>
  <c r="R260" i="4"/>
  <c r="O261" i="4"/>
  <c r="P261" i="4"/>
  <c r="Q261" i="4"/>
  <c r="R261" i="4"/>
  <c r="O262" i="4"/>
  <c r="P262" i="4"/>
  <c r="Q262" i="4"/>
  <c r="R262" i="4"/>
  <c r="O263" i="4"/>
  <c r="P263" i="4"/>
  <c r="Q263" i="4"/>
  <c r="R263" i="4"/>
  <c r="O264" i="4"/>
  <c r="P264" i="4"/>
  <c r="Q264" i="4"/>
  <c r="R264" i="4"/>
  <c r="O265" i="4"/>
  <c r="P265" i="4"/>
  <c r="Q265" i="4"/>
  <c r="R265" i="4"/>
  <c r="O266" i="4"/>
  <c r="P266" i="4"/>
  <c r="Q266" i="4"/>
  <c r="R266" i="4"/>
  <c r="O267" i="4"/>
  <c r="P267" i="4"/>
  <c r="Q267" i="4"/>
  <c r="R267" i="4"/>
  <c r="O268" i="4"/>
  <c r="P268" i="4"/>
  <c r="Q268" i="4"/>
  <c r="R268" i="4"/>
  <c r="O269" i="4"/>
  <c r="P269" i="4"/>
  <c r="Q269" i="4"/>
  <c r="R269" i="4"/>
  <c r="O270" i="4"/>
  <c r="P270" i="4"/>
  <c r="Q270" i="4"/>
  <c r="R270" i="4"/>
  <c r="O271" i="4"/>
  <c r="P271" i="4"/>
  <c r="Q271" i="4"/>
  <c r="R271" i="4"/>
  <c r="O272" i="4"/>
  <c r="P272" i="4"/>
  <c r="Q272" i="4"/>
  <c r="R272" i="4"/>
  <c r="O273" i="4"/>
  <c r="P273" i="4"/>
  <c r="Q273" i="4"/>
  <c r="R273" i="4"/>
  <c r="O274" i="4"/>
  <c r="P274" i="4"/>
  <c r="Q274" i="4"/>
  <c r="R274" i="4"/>
  <c r="O275" i="4"/>
  <c r="P275" i="4"/>
  <c r="Q275" i="4"/>
  <c r="R275" i="4"/>
  <c r="O276" i="4"/>
  <c r="P276" i="4"/>
  <c r="Q276" i="4"/>
  <c r="R276" i="4"/>
  <c r="O277" i="4"/>
  <c r="P277" i="4"/>
  <c r="Q277" i="4"/>
  <c r="R277" i="4"/>
  <c r="O278" i="4"/>
  <c r="P278" i="4"/>
  <c r="Q278" i="4"/>
  <c r="R278" i="4"/>
  <c r="O279" i="4"/>
  <c r="P279" i="4"/>
  <c r="Q279" i="4"/>
  <c r="R279" i="4"/>
  <c r="O280" i="4"/>
  <c r="P280" i="4"/>
  <c r="Q280" i="4"/>
  <c r="R280" i="4"/>
  <c r="O281" i="4"/>
  <c r="P281" i="4"/>
  <c r="Q281" i="4"/>
  <c r="R281" i="4"/>
  <c r="O282" i="4"/>
  <c r="P282" i="4"/>
  <c r="Q282" i="4"/>
  <c r="R282" i="4"/>
  <c r="O283" i="4"/>
  <c r="P283" i="4"/>
  <c r="Q283" i="4"/>
  <c r="R283" i="4"/>
  <c r="O284" i="4"/>
  <c r="P284" i="4"/>
  <c r="Q284" i="4"/>
  <c r="R284" i="4"/>
  <c r="O285" i="4"/>
  <c r="P285" i="4"/>
  <c r="Q285" i="4"/>
  <c r="R285" i="4"/>
  <c r="O286" i="4"/>
  <c r="P286" i="4"/>
  <c r="Q286" i="4"/>
  <c r="R286" i="4"/>
  <c r="O287" i="4"/>
  <c r="P287" i="4"/>
  <c r="Q287" i="4"/>
  <c r="R287" i="4"/>
  <c r="O288" i="4"/>
  <c r="P288" i="4"/>
  <c r="Q288" i="4"/>
  <c r="R288" i="4"/>
  <c r="O289" i="4"/>
  <c r="P289" i="4"/>
  <c r="Q289" i="4"/>
  <c r="R289" i="4"/>
  <c r="O290" i="4"/>
  <c r="P290" i="4"/>
  <c r="Q290" i="4"/>
  <c r="R290" i="4"/>
  <c r="O291" i="4"/>
  <c r="P291" i="4"/>
  <c r="Q291" i="4"/>
  <c r="R291" i="4"/>
  <c r="O292" i="4"/>
  <c r="P292" i="4"/>
  <c r="Q292" i="4"/>
  <c r="R292" i="4"/>
  <c r="O293" i="4"/>
  <c r="P293" i="4"/>
  <c r="Q293" i="4"/>
  <c r="R293" i="4"/>
  <c r="O294" i="4"/>
  <c r="P294" i="4"/>
  <c r="Q294" i="4"/>
  <c r="R294" i="4"/>
  <c r="O295" i="4"/>
  <c r="P295" i="4"/>
  <c r="Q295" i="4"/>
  <c r="R295" i="4"/>
  <c r="O296" i="4"/>
  <c r="P296" i="4"/>
  <c r="Q296" i="4"/>
  <c r="R296" i="4"/>
  <c r="O297" i="4"/>
  <c r="P297" i="4"/>
  <c r="Q297" i="4"/>
  <c r="R297" i="4"/>
  <c r="O298" i="4"/>
  <c r="P298" i="4"/>
  <c r="Q298" i="4"/>
  <c r="R298" i="4"/>
  <c r="O299" i="4"/>
  <c r="P299" i="4"/>
  <c r="Q299" i="4"/>
  <c r="R299" i="4"/>
  <c r="O300" i="4"/>
  <c r="P300" i="4"/>
  <c r="Q300" i="4"/>
  <c r="R300" i="4"/>
  <c r="O301" i="4"/>
  <c r="P301" i="4"/>
  <c r="Q301" i="4"/>
  <c r="R301" i="4"/>
  <c r="O302" i="4"/>
  <c r="P302" i="4"/>
  <c r="Q302" i="4"/>
  <c r="R302" i="4"/>
  <c r="O303" i="4"/>
  <c r="P303" i="4"/>
  <c r="Q303" i="4"/>
  <c r="R303" i="4"/>
  <c r="O304" i="4"/>
  <c r="P304" i="4"/>
  <c r="Q304" i="4"/>
  <c r="R304" i="4"/>
  <c r="O305" i="4"/>
  <c r="P305" i="4"/>
  <c r="Q305" i="4"/>
  <c r="R305" i="4"/>
  <c r="O306" i="4"/>
  <c r="P306" i="4"/>
  <c r="Q306" i="4"/>
  <c r="R306" i="4"/>
  <c r="O307" i="4"/>
  <c r="P307" i="4"/>
  <c r="Q307" i="4"/>
  <c r="R307" i="4"/>
  <c r="O308" i="4"/>
  <c r="P308" i="4"/>
  <c r="Q308" i="4"/>
  <c r="R308" i="4"/>
  <c r="O309" i="4"/>
  <c r="P309" i="4"/>
  <c r="Q309" i="4"/>
  <c r="R309" i="4"/>
  <c r="O310" i="4"/>
  <c r="P310" i="4"/>
  <c r="Q310" i="4"/>
  <c r="R310" i="4"/>
  <c r="O311" i="4"/>
  <c r="P311" i="4"/>
  <c r="Q311" i="4"/>
  <c r="R311" i="4"/>
  <c r="O312" i="4"/>
  <c r="P312" i="4"/>
  <c r="Q312" i="4"/>
  <c r="R312" i="4"/>
  <c r="O313" i="4"/>
  <c r="P313" i="4"/>
  <c r="Q313" i="4"/>
  <c r="R313" i="4"/>
  <c r="O314" i="4"/>
  <c r="P314" i="4"/>
  <c r="Q314" i="4"/>
  <c r="R314" i="4"/>
  <c r="O315" i="4"/>
  <c r="P315" i="4"/>
  <c r="Q315" i="4"/>
  <c r="R315" i="4"/>
  <c r="O316" i="4"/>
  <c r="P316" i="4"/>
  <c r="Q316" i="4"/>
  <c r="R316" i="4"/>
  <c r="O317" i="4"/>
  <c r="P317" i="4"/>
  <c r="Q317" i="4"/>
  <c r="R317" i="4"/>
  <c r="O318" i="4"/>
  <c r="P318" i="4"/>
  <c r="Q318" i="4"/>
  <c r="R318" i="4"/>
  <c r="O319" i="4"/>
  <c r="P319" i="4"/>
  <c r="Q319" i="4"/>
  <c r="R319" i="4"/>
  <c r="O320" i="4"/>
  <c r="P320" i="4"/>
  <c r="Q320" i="4"/>
  <c r="R320" i="4"/>
  <c r="O321" i="4"/>
  <c r="P321" i="4"/>
  <c r="Q321" i="4"/>
  <c r="R321" i="4"/>
  <c r="R2" i="4"/>
  <c r="Q2" i="4"/>
  <c r="P2" i="4"/>
  <c r="L323" i="3"/>
  <c r="J323" i="3"/>
</calcChain>
</file>

<file path=xl/sharedStrings.xml><?xml version="1.0" encoding="utf-8"?>
<sst xmlns="http://schemas.openxmlformats.org/spreadsheetml/2006/main" count="3070" uniqueCount="154">
  <si>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</si>
  <si>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</si>
  <si>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</si>
  <si>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</si>
  <si>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</si>
  <si>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</si>
  <si>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</si>
  <si>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</si>
  <si>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</si>
  <si>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</si>
  <si>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</si>
  <si>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</si>
  <si>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</si>
  <si>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</si>
  <si>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</si>
  <si>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</si>
  <si>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</si>
  <si>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</si>
  <si>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</si>
  <si>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</si>
  <si>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</si>
  <si>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</si>
  <si>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</si>
  <si>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</si>
  <si>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</si>
  <si>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</si>
  <si>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</si>
  <si>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</si>
  <si>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</si>
  <si>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</si>
  <si>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</si>
  <si>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</si>
  <si>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</si>
  <si>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</si>
  <si>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</si>
  <si>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</si>
  <si>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</si>
  <si>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</si>
  <si>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</si>
  <si>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</si>
  <si>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</si>
  <si>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</si>
  <si>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</si>
  <si>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</si>
  <si>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</si>
  <si>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</si>
  <si>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</si>
  <si>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</si>
  <si>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</si>
  <si>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</si>
  <si>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</si>
  <si>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</si>
  <si>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</si>
  <si>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</si>
  <si>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</si>
  <si>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</si>
  <si>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</si>
  <si>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</si>
  <si>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</si>
  <si>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</si>
  <si>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</si>
  <si>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</si>
  <si>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</si>
  <si>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</si>
  <si>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</si>
  <si>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</si>
  <si>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</si>
  <si>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</si>
  <si>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</si>
  <si>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</si>
  <si>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</si>
  <si>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</si>
  <si>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</si>
  <si>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</si>
  <si>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</si>
  <si>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</si>
  <si>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</si>
  <si>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</si>
  <si>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</si>
  <si>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</si>
  <si>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</si>
  <si>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</si>
  <si>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</si>
  <si>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</si>
  <si>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</si>
  <si>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</si>
  <si>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</si>
  <si>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</si>
  <si>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</si>
  <si>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</si>
  <si>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</si>
  <si>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</si>
  <si>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</si>
  <si>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</si>
  <si>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</si>
  <si>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</si>
  <si>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</si>
  <si>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</si>
  <si>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</si>
  <si>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</si>
  <si>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</si>
  <si>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</si>
  <si>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</si>
  <si>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</si>
  <si>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</si>
  <si>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</si>
  <si>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</si>
  <si>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</si>
  <si>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</si>
  <si>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</si>
  <si>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</si>
  <si>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</si>
  <si>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</si>
  <si>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</si>
  <si>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</si>
  <si>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</si>
  <si>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</si>
  <si>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</si>
  <si>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region_north</t>
  </si>
  <si>
    <t>region_south</t>
  </si>
  <si>
    <t>store_mall</t>
  </si>
  <si>
    <t>store_stanalone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</si>
  <si>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</si>
  <si>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</si>
  <si>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</si>
  <si>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</si>
  <si>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</si>
  <si>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</si>
  <si>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</si>
  <si>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</si>
  <si>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</si>
  <si>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</si>
  <si>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</si>
  <si>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</si>
  <si>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</si>
  <si>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</si>
  <si>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</si>
  <si>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</si>
  <si>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</si>
  <si>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</si>
  <si>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</si>
  <si>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</si>
  <si>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</si>
  <si>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</si>
  <si>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</si>
  <si>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</si>
  <si>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Predicted_sales</t>
  </si>
  <si>
    <t>Residual_squared</t>
  </si>
  <si>
    <t>Model</t>
  </si>
  <si>
    <t>Simple Regression</t>
  </si>
  <si>
    <t>Multiple Regression</t>
  </si>
  <si>
    <t>No</t>
  </si>
  <si>
    <t>Yes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</si>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</sst>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"/>
    <numFmt numFmtId="165" formatCode="0.000"/>
  </numFmts>
  <fonts count="5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2" fontId="0" fillId="0" borderId="0" xfId="0" applyNumberFormat="1"/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  <xf numFmtId="165" fontId="0" fillId="0" borderId="0" xfId="0" applyNumberFormat="1"/>
    <xf numFmtId="165" fontId="2" fillId="0" borderId="3" xfId="0" applyNumberFormat="1" applyFont="1" applyFill="1" applyBorder="1" applyAlignment="1">
      <alignment horizontal="centerContinuous"/>
    </xf>
    <xf numFmtId="165" fontId="0" fillId="0" borderId="1" xfId="0" applyNumberFormat="1" applyFill="1" applyBorder="1" applyAlignment="1"/>
    <xf numFmtId="165" fontId="0" fillId="0" borderId="2" xfId="0" applyNumberFormat="1" applyFill="1" applyBorder="1" applyAlignment="1"/>
    <xf numFmtId="165" fontId="2" fillId="0" borderId="3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/>
    <xf numFmtId="2" fontId="0" fillId="0" borderId="2" xfId="0" applyNumberFormat="1" applyFill="1" applyBorder="1" applyAlignment="1"/>
    <xf numFmtId="0" fontId="0" fillId="0" borderId="0" xfId="0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165" fontId="0" fillId="0" borderId="4" xfId="0" applyNumberFormat="1" applyFill="1" applyBorder="1" applyAlignment="1"/>
    <xf numFmtId="2" fontId="0" fillId="0" borderId="4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opLeftCell="E298" workbookViewId="0">
      <selection sqref="A1:N321"/>
    </sheetView>
  </sheetViews>
  <sheetFormatPr defaultRowHeight="14.25"/>
  <cols>
    <col min="1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4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4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4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4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4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4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4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4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4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4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4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4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4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4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4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4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4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4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4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4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4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4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4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4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4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4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4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4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4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4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4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4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4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30</v>
      </c>
      <c r="B36" s="4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4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4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4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4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4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4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4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4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4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4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4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4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4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4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4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4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4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4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4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4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4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4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4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4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4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4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4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4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4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4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4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4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4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4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4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4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4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4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4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4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4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4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4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4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4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4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4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4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4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4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4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43</v>
      </c>
      <c r="B88" s="4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4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4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4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4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4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4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4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4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4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4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4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4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4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4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4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4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4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4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4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4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4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4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4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4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4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4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4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4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4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4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4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4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4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4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4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4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4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4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4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4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4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4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4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4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4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4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4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55</v>
      </c>
      <c r="B136" s="4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4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4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56</v>
      </c>
      <c r="B139" s="4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4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4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4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4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4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4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4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4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4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4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4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4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4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4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4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4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4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4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4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4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4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4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4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4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4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4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4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4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4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4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4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4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4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4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4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4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4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4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4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4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4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4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4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4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4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4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4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4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4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4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4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4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4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4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4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4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4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4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71</v>
      </c>
      <c r="B198" s="4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4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4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4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4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4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4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4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4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4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4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4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4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4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4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4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4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4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4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4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4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4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4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4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4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4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4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4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4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4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4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4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79</v>
      </c>
      <c r="B230" s="4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4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4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4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4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4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4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4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4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4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4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4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4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4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4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4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4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4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4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4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4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4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4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4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4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4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4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4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4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4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4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4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4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4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4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4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4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4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4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4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4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4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4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4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4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4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4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4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4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4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4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4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4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4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4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4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4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4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4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4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4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4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4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4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4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4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4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4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4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4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4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4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4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4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4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4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4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4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4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4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4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4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4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4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100</v>
      </c>
      <c r="B314" s="4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4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100</v>
      </c>
      <c r="B316" s="4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4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4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4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4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101</v>
      </c>
      <c r="B321" s="4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3"/>
  <sheetViews>
    <sheetView topLeftCell="C1" zoomScaleNormal="100" workbookViewId="0">
      <selection sqref="A1:N321"/>
    </sheetView>
  </sheetViews>
  <sheetFormatPr defaultRowHeight="14.25"/>
  <cols>
    <col min="1" max="1" width="12.75" customWidth="1"/>
    <col min="2" max="2" width="11" customWidth="1"/>
    <col min="4" max="4" width="11.75" customWidth="1"/>
    <col min="5" max="5" width="11.625" customWidth="1"/>
    <col min="6" max="6" width="9.375" customWidth="1"/>
    <col min="7" max="7" width="10.875" customWidth="1"/>
    <col min="8" max="8" width="10" customWidth="1"/>
    <col min="9" max="9" width="15.875" customWidth="1"/>
    <col min="10" max="10" width="12.75" customWidth="1"/>
    <col min="11" max="11" width="10.375" customWidth="1"/>
    <col min="13" max="14" width="9.875" bestFit="1" customWidth="1"/>
    <col min="20" max="20" width="11.625" customWidth="1"/>
    <col min="21" max="21" width="9.375" customWidth="1"/>
    <col min="22" max="22" width="10.875" customWidth="1"/>
    <col min="23" max="23" width="10" customWidth="1"/>
    <col min="24" max="24" width="15.875" customWidth="1"/>
    <col min="25" max="25" width="12.75" customWidth="1"/>
    <col min="26" max="26" width="10.375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4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4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4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4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4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4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4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4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4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4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4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4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4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4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4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4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4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4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4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4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4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4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4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4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4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4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4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4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4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4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4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4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4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>
        <v>3.92</v>
      </c>
      <c r="M35" s="3">
        <v>799477.76000000001</v>
      </c>
      <c r="N35" s="3">
        <v>164974.41</v>
      </c>
    </row>
    <row r="36" spans="1:14">
      <c r="A36" s="3" t="s">
        <v>30</v>
      </c>
      <c r="B36" s="4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4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4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4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4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4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4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4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4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4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4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4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4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4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4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4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4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4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4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4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4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4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4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4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4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4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4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4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4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4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4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4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4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4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4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4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4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4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>
        <v>4.5599999999999996</v>
      </c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4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4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4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4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4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4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4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4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4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4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4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4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4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4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>
        <v>3.92</v>
      </c>
      <c r="M87" s="3">
        <v>611766.72</v>
      </c>
      <c r="N87" s="3">
        <v>88275.61</v>
      </c>
    </row>
    <row r="88" spans="1:14">
      <c r="A88" s="3" t="s">
        <v>43</v>
      </c>
      <c r="B88" s="4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4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4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4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4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4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4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4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4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4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4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4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4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>
        <v>4.5599999999999996</v>
      </c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4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4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4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4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4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4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4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4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4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4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4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4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4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4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4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4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4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4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4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4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4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4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4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4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4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4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4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4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4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4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4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4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4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4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4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>
        <v>3.92</v>
      </c>
      <c r="M135" s="3">
        <v>400831.65</v>
      </c>
      <c r="N135" s="3">
        <v>70979.31</v>
      </c>
    </row>
    <row r="136" spans="1:14">
      <c r="A136" s="3" t="s">
        <v>55</v>
      </c>
      <c r="B136" s="4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4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4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>
        <v>3.92</v>
      </c>
      <c r="M138" s="3">
        <v>633638.03</v>
      </c>
      <c r="N138" s="3">
        <v>99402.01</v>
      </c>
    </row>
    <row r="139" spans="1:14">
      <c r="A139" s="3" t="s">
        <v>56</v>
      </c>
      <c r="B139" s="4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4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4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4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4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4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4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4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4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4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4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4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4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4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4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4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4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4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4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4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4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4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4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4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4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4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>
        <v>4.5599999999999996</v>
      </c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4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4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4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4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4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4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4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4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4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4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4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4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4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4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4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4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4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4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4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4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4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4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4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4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4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4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4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4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4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4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4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4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4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>
        <v>3.92</v>
      </c>
      <c r="M197" s="3">
        <v>449465.06</v>
      </c>
      <c r="N197" s="3">
        <v>65694.78</v>
      </c>
    </row>
    <row r="198" spans="1:14">
      <c r="A198" s="3" t="s">
        <v>71</v>
      </c>
      <c r="B198" s="4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4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4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4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4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4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4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4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4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4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4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4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4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4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4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4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4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4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4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4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4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4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4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4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4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4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4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4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4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4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4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4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>
        <v>3.92</v>
      </c>
      <c r="M229" s="3">
        <v>529598.93999999994</v>
      </c>
      <c r="N229" s="3">
        <v>84334.33</v>
      </c>
    </row>
    <row r="230" spans="1:14">
      <c r="A230" s="3" t="s">
        <v>79</v>
      </c>
      <c r="B230" s="4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4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4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4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>
        <v>4.5599999999999996</v>
      </c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4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4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4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4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4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4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4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4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4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4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4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4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4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4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4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4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4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>
        <v>4.5599999999999996</v>
      </c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4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4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4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4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4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4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4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4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4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4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4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4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4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>
        <v>4.5599999999999996</v>
      </c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4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4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4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4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4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4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4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4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4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4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4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4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4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4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4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4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4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4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4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4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4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4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4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4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4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4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4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4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4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4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4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4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4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4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4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4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4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4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4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4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4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4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4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4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4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4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4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4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4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4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>
        <v>3.92</v>
      </c>
      <c r="M313" s="3">
        <v>771129.07</v>
      </c>
      <c r="N313" s="3">
        <v>116851.13</v>
      </c>
    </row>
    <row r="314" spans="1:14">
      <c r="A314" s="3" t="s">
        <v>100</v>
      </c>
      <c r="B314" s="4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4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>
        <v>3.92</v>
      </c>
      <c r="M315" s="3">
        <v>688368.46</v>
      </c>
      <c r="N315" s="3">
        <v>93588.42</v>
      </c>
    </row>
    <row r="316" spans="1:14">
      <c r="A316" s="3" t="s">
        <v>100</v>
      </c>
      <c r="B316" s="4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4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4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4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4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27">
      <c r="A321" s="3" t="s">
        <v>101</v>
      </c>
      <c r="B321" s="4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  <row r="323" spans="1:27">
      <c r="J323" s="6">
        <f>AVERAGE(J2:J321)</f>
        <v>4.5590625000000005</v>
      </c>
      <c r="L323" s="6">
        <f>AVERAGE(L2:L321)</f>
        <v>3.9245625000000004</v>
      </c>
      <c r="Y323" s="6" t="e">
        <f>AVERAGE(#REF!)</f>
        <v>#REF!</v>
      </c>
      <c r="AA323" s="6" t="e">
        <f>AVERAGE(#REF!)</f>
        <v>#REF!</v>
      </c>
    </row>
  </sheetData>
  <autoFilter ref="A1:N321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1"/>
  <sheetViews>
    <sheetView topLeftCell="E1" workbookViewId="0">
      <selection activeCell="M1" sqref="M1:M1048576"/>
    </sheetView>
  </sheetViews>
  <sheetFormatPr defaultRowHeight="14.25"/>
  <cols>
    <col min="2" max="2" width="10.25" customWidth="1"/>
    <col min="3" max="3" width="11.625" customWidth="1"/>
    <col min="4" max="5" width="9.875" bestFit="1" customWidth="1"/>
    <col min="6" max="6" width="7" bestFit="1" customWidth="1"/>
    <col min="7" max="7" width="8.75" bestFit="1" customWidth="1"/>
    <col min="13" max="13" width="9.875" bestFit="1" customWidth="1"/>
    <col min="14" max="14" width="13.875" bestFit="1" customWidth="1"/>
    <col min="15" max="15" width="12.75" bestFit="1" customWidth="1"/>
    <col min="16" max="16" width="12.625" bestFit="1" customWidth="1"/>
    <col min="17" max="17" width="13" bestFit="1" customWidth="1"/>
    <col min="18" max="18" width="12.125" bestFit="1" customWidth="1"/>
  </cols>
  <sheetData>
    <row r="1" spans="1:18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118</v>
      </c>
      <c r="P1" s="2" t="s">
        <v>119</v>
      </c>
      <c r="Q1" s="2" t="s">
        <v>120</v>
      </c>
      <c r="R1" s="2" t="s">
        <v>121</v>
      </c>
    </row>
    <row r="2" spans="1:18">
      <c r="A2" s="3" t="s">
        <v>14</v>
      </c>
      <c r="B2" s="4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  <c r="O2">
        <f t="shared" ref="O2:O65" si="0">IF(C2="North",1,0)</f>
        <v>0</v>
      </c>
      <c r="P2">
        <f t="shared" ref="P2:P65" si="1">IF(C2="South",1,0)</f>
        <v>0</v>
      </c>
      <c r="Q2">
        <f t="shared" ref="Q2:Q65" si="2">IF(D2="Mall",1,0)</f>
        <v>0</v>
      </c>
      <c r="R2">
        <f t="shared" ref="R2:R65" si="3">IF(D2="Standalone",1,0)</f>
        <v>0</v>
      </c>
    </row>
    <row r="3" spans="1:18">
      <c r="A3" s="3" t="s">
        <v>14</v>
      </c>
      <c r="B3" s="4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  <c r="O3">
        <f t="shared" si="0"/>
        <v>0</v>
      </c>
      <c r="P3">
        <f t="shared" si="1"/>
        <v>0</v>
      </c>
      <c r="Q3">
        <f t="shared" si="2"/>
        <v>0</v>
      </c>
      <c r="R3">
        <f t="shared" si="3"/>
        <v>0</v>
      </c>
    </row>
    <row r="4" spans="1:18">
      <c r="A4" s="3" t="s">
        <v>14</v>
      </c>
      <c r="B4" s="4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</row>
    <row r="5" spans="1:18">
      <c r="A5" s="3" t="s">
        <v>14</v>
      </c>
      <c r="B5" s="4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</row>
    <row r="6" spans="1:18">
      <c r="A6" s="3" t="s">
        <v>17</v>
      </c>
      <c r="B6" s="4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0</v>
      </c>
    </row>
    <row r="7" spans="1:18">
      <c r="A7" s="3" t="s">
        <v>17</v>
      </c>
      <c r="B7" s="4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0</v>
      </c>
    </row>
    <row r="8" spans="1:18">
      <c r="A8" s="3" t="s">
        <v>17</v>
      </c>
      <c r="B8" s="4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0</v>
      </c>
    </row>
    <row r="9" spans="1:18">
      <c r="A9" s="3" t="s">
        <v>17</v>
      </c>
      <c r="B9" s="4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</row>
    <row r="10" spans="1:18">
      <c r="A10" s="3" t="s">
        <v>19</v>
      </c>
      <c r="B10" s="4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0</v>
      </c>
    </row>
    <row r="11" spans="1:18">
      <c r="A11" s="3" t="s">
        <v>19</v>
      </c>
      <c r="B11" s="4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0</v>
      </c>
    </row>
    <row r="12" spans="1:18">
      <c r="A12" s="3" t="s">
        <v>19</v>
      </c>
      <c r="B12" s="4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0</v>
      </c>
    </row>
    <row r="13" spans="1:18">
      <c r="A13" s="3" t="s">
        <v>19</v>
      </c>
      <c r="B13" s="4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0</v>
      </c>
    </row>
    <row r="14" spans="1:18">
      <c r="A14" s="3" t="s">
        <v>22</v>
      </c>
      <c r="B14" s="4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</row>
    <row r="15" spans="1:18">
      <c r="A15" s="3" t="s">
        <v>22</v>
      </c>
      <c r="B15" s="4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</row>
    <row r="16" spans="1:18">
      <c r="A16" s="3" t="s">
        <v>22</v>
      </c>
      <c r="B16" s="4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</row>
    <row r="17" spans="1:18">
      <c r="A17" s="3" t="s">
        <v>22</v>
      </c>
      <c r="B17" s="4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</row>
    <row r="18" spans="1:18">
      <c r="A18" s="3" t="s">
        <v>23</v>
      </c>
      <c r="B18" s="4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0</v>
      </c>
    </row>
    <row r="19" spans="1:18">
      <c r="A19" s="3" t="s">
        <v>23</v>
      </c>
      <c r="B19" s="4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0</v>
      </c>
    </row>
    <row r="20" spans="1:18">
      <c r="A20" s="3" t="s">
        <v>23</v>
      </c>
      <c r="B20" s="4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0</v>
      </c>
    </row>
    <row r="21" spans="1:18">
      <c r="A21" s="3" t="s">
        <v>23</v>
      </c>
      <c r="B21" s="4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0</v>
      </c>
    </row>
    <row r="22" spans="1:18">
      <c r="A22" s="3" t="s">
        <v>25</v>
      </c>
      <c r="B22" s="4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0</v>
      </c>
    </row>
    <row r="23" spans="1:18">
      <c r="A23" s="3" t="s">
        <v>25</v>
      </c>
      <c r="B23" s="4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</row>
    <row r="24" spans="1:18">
      <c r="A24" s="3" t="s">
        <v>25</v>
      </c>
      <c r="B24" s="4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</row>
    <row r="25" spans="1:18">
      <c r="A25" s="3" t="s">
        <v>25</v>
      </c>
      <c r="B25" s="4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</row>
    <row r="26" spans="1:18">
      <c r="A26" s="3" t="s">
        <v>26</v>
      </c>
      <c r="B26" s="4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  <c r="O26">
        <f t="shared" si="0"/>
        <v>0</v>
      </c>
      <c r="P26">
        <f t="shared" si="1"/>
        <v>0</v>
      </c>
      <c r="Q26">
        <f t="shared" si="2"/>
        <v>1</v>
      </c>
      <c r="R26">
        <f t="shared" si="3"/>
        <v>0</v>
      </c>
    </row>
    <row r="27" spans="1:18">
      <c r="A27" s="3" t="s">
        <v>26</v>
      </c>
      <c r="B27" s="4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</row>
    <row r="28" spans="1:18">
      <c r="A28" s="3" t="s">
        <v>26</v>
      </c>
      <c r="B28" s="4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</row>
    <row r="29" spans="1:18">
      <c r="A29" s="3" t="s">
        <v>26</v>
      </c>
      <c r="B29" s="4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</row>
    <row r="30" spans="1:18">
      <c r="A30" s="3" t="s">
        <v>29</v>
      </c>
      <c r="B30" s="4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</row>
    <row r="31" spans="1:18">
      <c r="A31" s="3" t="s">
        <v>29</v>
      </c>
      <c r="B31" s="4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</row>
    <row r="32" spans="1:18">
      <c r="A32" s="3" t="s">
        <v>29</v>
      </c>
      <c r="B32" s="4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</row>
    <row r="33" spans="1:18">
      <c r="A33" s="3" t="s">
        <v>29</v>
      </c>
      <c r="B33" s="4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</row>
    <row r="34" spans="1:18">
      <c r="A34" s="3" t="s">
        <v>30</v>
      </c>
      <c r="B34" s="4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0</v>
      </c>
    </row>
    <row r="35" spans="1:18">
      <c r="A35" s="3" t="s">
        <v>30</v>
      </c>
      <c r="B35" s="4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>
        <v>3.92</v>
      </c>
      <c r="M35" s="3">
        <v>799477.76000000001</v>
      </c>
      <c r="N35" s="3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0</v>
      </c>
    </row>
    <row r="36" spans="1:18">
      <c r="A36" s="3" t="s">
        <v>30</v>
      </c>
      <c r="B36" s="4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0</v>
      </c>
    </row>
    <row r="37" spans="1:18">
      <c r="A37" s="3" t="s">
        <v>30</v>
      </c>
      <c r="B37" s="4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0</v>
      </c>
    </row>
    <row r="38" spans="1:18">
      <c r="A38" s="3" t="s">
        <v>31</v>
      </c>
      <c r="B38" s="4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  <c r="O38">
        <f t="shared" si="0"/>
        <v>1</v>
      </c>
      <c r="P38">
        <f t="shared" si="1"/>
        <v>0</v>
      </c>
      <c r="Q38">
        <f t="shared" si="2"/>
        <v>1</v>
      </c>
      <c r="R38">
        <f t="shared" si="3"/>
        <v>0</v>
      </c>
    </row>
    <row r="39" spans="1:18">
      <c r="A39" s="3" t="s">
        <v>31</v>
      </c>
      <c r="B39" s="4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  <c r="O39">
        <f t="shared" si="0"/>
        <v>1</v>
      </c>
      <c r="P39">
        <f t="shared" si="1"/>
        <v>0</v>
      </c>
      <c r="Q39">
        <f t="shared" si="2"/>
        <v>1</v>
      </c>
      <c r="R39">
        <f t="shared" si="3"/>
        <v>0</v>
      </c>
    </row>
    <row r="40" spans="1:18">
      <c r="A40" s="3" t="s">
        <v>31</v>
      </c>
      <c r="B40" s="4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  <c r="O40">
        <f t="shared" si="0"/>
        <v>1</v>
      </c>
      <c r="P40">
        <f t="shared" si="1"/>
        <v>0</v>
      </c>
      <c r="Q40">
        <f t="shared" si="2"/>
        <v>1</v>
      </c>
      <c r="R40">
        <f t="shared" si="3"/>
        <v>0</v>
      </c>
    </row>
    <row r="41" spans="1:18">
      <c r="A41" s="3" t="s">
        <v>31</v>
      </c>
      <c r="B41" s="4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  <c r="O41">
        <f t="shared" si="0"/>
        <v>1</v>
      </c>
      <c r="P41">
        <f t="shared" si="1"/>
        <v>0</v>
      </c>
      <c r="Q41">
        <f t="shared" si="2"/>
        <v>1</v>
      </c>
      <c r="R41">
        <f t="shared" si="3"/>
        <v>0</v>
      </c>
    </row>
    <row r="42" spans="1:18">
      <c r="A42" s="3" t="s">
        <v>32</v>
      </c>
      <c r="B42" s="4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  <c r="O42">
        <f t="shared" si="0"/>
        <v>0</v>
      </c>
      <c r="P42">
        <f t="shared" si="1"/>
        <v>0</v>
      </c>
      <c r="Q42">
        <f t="shared" si="2"/>
        <v>1</v>
      </c>
      <c r="R42">
        <f t="shared" si="3"/>
        <v>0</v>
      </c>
    </row>
    <row r="43" spans="1:18">
      <c r="A43" s="3" t="s">
        <v>32</v>
      </c>
      <c r="B43" s="4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  <c r="O43">
        <f t="shared" si="0"/>
        <v>0</v>
      </c>
      <c r="P43">
        <f t="shared" si="1"/>
        <v>0</v>
      </c>
      <c r="Q43">
        <f t="shared" si="2"/>
        <v>1</v>
      </c>
      <c r="R43">
        <f t="shared" si="3"/>
        <v>0</v>
      </c>
    </row>
    <row r="44" spans="1:18">
      <c r="A44" s="3" t="s">
        <v>32</v>
      </c>
      <c r="B44" s="4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  <c r="O44">
        <f t="shared" si="0"/>
        <v>0</v>
      </c>
      <c r="P44">
        <f t="shared" si="1"/>
        <v>0</v>
      </c>
      <c r="Q44">
        <f t="shared" si="2"/>
        <v>1</v>
      </c>
      <c r="R44">
        <f t="shared" si="3"/>
        <v>0</v>
      </c>
    </row>
    <row r="45" spans="1:18">
      <c r="A45" s="3" t="s">
        <v>32</v>
      </c>
      <c r="B45" s="4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  <c r="O45">
        <f t="shared" si="0"/>
        <v>0</v>
      </c>
      <c r="P45">
        <f t="shared" si="1"/>
        <v>0</v>
      </c>
      <c r="Q45">
        <f t="shared" si="2"/>
        <v>1</v>
      </c>
      <c r="R45">
        <f t="shared" si="3"/>
        <v>0</v>
      </c>
    </row>
    <row r="46" spans="1:18">
      <c r="A46" s="3" t="s">
        <v>33</v>
      </c>
      <c r="B46" s="4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0</v>
      </c>
    </row>
    <row r="47" spans="1:18">
      <c r="A47" s="3" t="s">
        <v>33</v>
      </c>
      <c r="B47" s="4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0</v>
      </c>
    </row>
    <row r="48" spans="1:18">
      <c r="A48" s="3" t="s">
        <v>33</v>
      </c>
      <c r="B48" s="4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0</v>
      </c>
    </row>
    <row r="49" spans="1:18">
      <c r="A49" s="3" t="s">
        <v>33</v>
      </c>
      <c r="B49" s="4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0</v>
      </c>
    </row>
    <row r="50" spans="1:18">
      <c r="A50" s="3" t="s">
        <v>34</v>
      </c>
      <c r="B50" s="4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  <c r="O50">
        <f t="shared" si="0"/>
        <v>1</v>
      </c>
      <c r="P50">
        <f t="shared" si="1"/>
        <v>0</v>
      </c>
      <c r="Q50">
        <f t="shared" si="2"/>
        <v>1</v>
      </c>
      <c r="R50">
        <f t="shared" si="3"/>
        <v>0</v>
      </c>
    </row>
    <row r="51" spans="1:18">
      <c r="A51" s="3" t="s">
        <v>34</v>
      </c>
      <c r="B51" s="4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  <c r="O51">
        <f t="shared" si="0"/>
        <v>1</v>
      </c>
      <c r="P51">
        <f t="shared" si="1"/>
        <v>0</v>
      </c>
      <c r="Q51">
        <f t="shared" si="2"/>
        <v>1</v>
      </c>
      <c r="R51">
        <f t="shared" si="3"/>
        <v>0</v>
      </c>
    </row>
    <row r="52" spans="1:18">
      <c r="A52" s="3" t="s">
        <v>34</v>
      </c>
      <c r="B52" s="4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  <c r="O52">
        <f t="shared" si="0"/>
        <v>1</v>
      </c>
      <c r="P52">
        <f t="shared" si="1"/>
        <v>0</v>
      </c>
      <c r="Q52">
        <f t="shared" si="2"/>
        <v>1</v>
      </c>
      <c r="R52">
        <f t="shared" si="3"/>
        <v>0</v>
      </c>
    </row>
    <row r="53" spans="1:18">
      <c r="A53" s="3" t="s">
        <v>34</v>
      </c>
      <c r="B53" s="4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  <c r="O53">
        <f t="shared" si="0"/>
        <v>1</v>
      </c>
      <c r="P53">
        <f t="shared" si="1"/>
        <v>0</v>
      </c>
      <c r="Q53">
        <f t="shared" si="2"/>
        <v>1</v>
      </c>
      <c r="R53">
        <f t="shared" si="3"/>
        <v>0</v>
      </c>
    </row>
    <row r="54" spans="1:18">
      <c r="A54" s="3" t="s">
        <v>35</v>
      </c>
      <c r="B54" s="4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  <c r="O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</row>
    <row r="55" spans="1:18">
      <c r="A55" s="3" t="s">
        <v>35</v>
      </c>
      <c r="B55" s="4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</row>
    <row r="56" spans="1:18">
      <c r="A56" s="3" t="s">
        <v>35</v>
      </c>
      <c r="B56" s="4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</row>
    <row r="57" spans="1:18">
      <c r="A57" s="3" t="s">
        <v>35</v>
      </c>
      <c r="B57" s="4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  <c r="O57">
        <f t="shared" si="0"/>
        <v>0</v>
      </c>
      <c r="P57">
        <f t="shared" si="1"/>
        <v>0</v>
      </c>
      <c r="Q57">
        <f t="shared" si="2"/>
        <v>0</v>
      </c>
      <c r="R57">
        <f t="shared" si="3"/>
        <v>0</v>
      </c>
    </row>
    <row r="58" spans="1:18">
      <c r="A58" s="3" t="s">
        <v>36</v>
      </c>
      <c r="B58" s="4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0</v>
      </c>
    </row>
    <row r="59" spans="1:18">
      <c r="A59" s="3" t="s">
        <v>36</v>
      </c>
      <c r="B59" s="4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0</v>
      </c>
    </row>
    <row r="60" spans="1:18">
      <c r="A60" s="3" t="s">
        <v>36</v>
      </c>
      <c r="B60" s="4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0</v>
      </c>
    </row>
    <row r="61" spans="1:18">
      <c r="A61" s="3" t="s">
        <v>36</v>
      </c>
      <c r="B61" s="4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f t="shared" si="3"/>
        <v>0</v>
      </c>
    </row>
    <row r="62" spans="1:18">
      <c r="A62" s="3" t="s">
        <v>37</v>
      </c>
      <c r="B62" s="4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0</v>
      </c>
    </row>
    <row r="63" spans="1:18">
      <c r="A63" s="3" t="s">
        <v>37</v>
      </c>
      <c r="B63" s="4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0</v>
      </c>
    </row>
    <row r="64" spans="1:18">
      <c r="A64" s="3" t="s">
        <v>37</v>
      </c>
      <c r="B64" s="4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0</v>
      </c>
    </row>
    <row r="65" spans="1:18">
      <c r="A65" s="3" t="s">
        <v>37</v>
      </c>
      <c r="B65" s="4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0</v>
      </c>
    </row>
    <row r="66" spans="1:18">
      <c r="A66" s="3" t="s">
        <v>38</v>
      </c>
      <c r="B66" s="4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  <c r="O66">
        <f t="shared" ref="O66:O129" si="4">IF(C66="North",1,0)</f>
        <v>0</v>
      </c>
      <c r="P66">
        <f t="shared" ref="P66:P129" si="5">IF(C66="South",1,0)</f>
        <v>0</v>
      </c>
      <c r="Q66">
        <f t="shared" ref="Q66:Q129" si="6">IF(D66="Mall",1,0)</f>
        <v>0</v>
      </c>
      <c r="R66">
        <f t="shared" ref="R66:R129" si="7">IF(D66="Standalone",1,0)</f>
        <v>0</v>
      </c>
    </row>
    <row r="67" spans="1:18">
      <c r="A67" s="3" t="s">
        <v>38</v>
      </c>
      <c r="B67" s="4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  <c r="O67">
        <f t="shared" si="4"/>
        <v>0</v>
      </c>
      <c r="P67">
        <f t="shared" si="5"/>
        <v>0</v>
      </c>
      <c r="Q67">
        <f t="shared" si="6"/>
        <v>0</v>
      </c>
      <c r="R67">
        <f t="shared" si="7"/>
        <v>0</v>
      </c>
    </row>
    <row r="68" spans="1:18">
      <c r="A68" s="3" t="s">
        <v>38</v>
      </c>
      <c r="B68" s="4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  <c r="O68">
        <f t="shared" si="4"/>
        <v>0</v>
      </c>
      <c r="P68">
        <f t="shared" si="5"/>
        <v>0</v>
      </c>
      <c r="Q68">
        <f t="shared" si="6"/>
        <v>0</v>
      </c>
      <c r="R68">
        <f t="shared" si="7"/>
        <v>0</v>
      </c>
    </row>
    <row r="69" spans="1:18">
      <c r="A69" s="3" t="s">
        <v>38</v>
      </c>
      <c r="B69" s="4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  <c r="O69">
        <f t="shared" si="4"/>
        <v>0</v>
      </c>
      <c r="P69">
        <f t="shared" si="5"/>
        <v>0</v>
      </c>
      <c r="Q69">
        <f t="shared" si="6"/>
        <v>0</v>
      </c>
      <c r="R69">
        <f t="shared" si="7"/>
        <v>0</v>
      </c>
    </row>
    <row r="70" spans="1:18">
      <c r="A70" s="3" t="s">
        <v>39</v>
      </c>
      <c r="B70" s="4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  <c r="O70">
        <f t="shared" si="4"/>
        <v>0</v>
      </c>
      <c r="P70">
        <f t="shared" si="5"/>
        <v>0</v>
      </c>
      <c r="Q70">
        <f t="shared" si="6"/>
        <v>0</v>
      </c>
      <c r="R70">
        <f t="shared" si="7"/>
        <v>0</v>
      </c>
    </row>
    <row r="71" spans="1:18">
      <c r="A71" s="3" t="s">
        <v>39</v>
      </c>
      <c r="B71" s="4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  <c r="O71">
        <f t="shared" si="4"/>
        <v>0</v>
      </c>
      <c r="P71">
        <f t="shared" si="5"/>
        <v>0</v>
      </c>
      <c r="Q71">
        <f t="shared" si="6"/>
        <v>0</v>
      </c>
      <c r="R71">
        <f t="shared" si="7"/>
        <v>0</v>
      </c>
    </row>
    <row r="72" spans="1:18">
      <c r="A72" s="3" t="s">
        <v>39</v>
      </c>
      <c r="B72" s="4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  <c r="O72">
        <f t="shared" si="4"/>
        <v>0</v>
      </c>
      <c r="P72">
        <f t="shared" si="5"/>
        <v>0</v>
      </c>
      <c r="Q72">
        <f t="shared" si="6"/>
        <v>0</v>
      </c>
      <c r="R72">
        <f t="shared" si="7"/>
        <v>0</v>
      </c>
    </row>
    <row r="73" spans="1:18">
      <c r="A73" s="3" t="s">
        <v>39</v>
      </c>
      <c r="B73" s="4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>
        <v>4.5599999999999996</v>
      </c>
      <c r="K73" s="3">
        <v>0</v>
      </c>
      <c r="L73" s="3">
        <v>3.5</v>
      </c>
      <c r="M73" s="3">
        <v>674774.09</v>
      </c>
      <c r="N73" s="3">
        <v>141917.59</v>
      </c>
      <c r="O73">
        <f t="shared" si="4"/>
        <v>0</v>
      </c>
      <c r="P73">
        <f t="shared" si="5"/>
        <v>0</v>
      </c>
      <c r="Q73">
        <f t="shared" si="6"/>
        <v>0</v>
      </c>
      <c r="R73">
        <f t="shared" si="7"/>
        <v>0</v>
      </c>
    </row>
    <row r="74" spans="1:18">
      <c r="A74" s="3" t="s">
        <v>40</v>
      </c>
      <c r="B74" s="4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  <c r="O74">
        <f t="shared" si="4"/>
        <v>0</v>
      </c>
      <c r="P74">
        <f t="shared" si="5"/>
        <v>0</v>
      </c>
      <c r="Q74">
        <f t="shared" si="6"/>
        <v>0</v>
      </c>
      <c r="R74">
        <f t="shared" si="7"/>
        <v>0</v>
      </c>
    </row>
    <row r="75" spans="1:18">
      <c r="A75" s="3" t="s">
        <v>40</v>
      </c>
      <c r="B75" s="4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  <c r="O75">
        <f t="shared" si="4"/>
        <v>0</v>
      </c>
      <c r="P75">
        <f t="shared" si="5"/>
        <v>0</v>
      </c>
      <c r="Q75">
        <f t="shared" si="6"/>
        <v>0</v>
      </c>
      <c r="R75">
        <f t="shared" si="7"/>
        <v>0</v>
      </c>
    </row>
    <row r="76" spans="1:18">
      <c r="A76" s="3" t="s">
        <v>40</v>
      </c>
      <c r="B76" s="4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  <c r="O76">
        <f t="shared" si="4"/>
        <v>0</v>
      </c>
      <c r="P76">
        <f t="shared" si="5"/>
        <v>0</v>
      </c>
      <c r="Q76">
        <f t="shared" si="6"/>
        <v>0</v>
      </c>
      <c r="R76">
        <f t="shared" si="7"/>
        <v>0</v>
      </c>
    </row>
    <row r="77" spans="1:18">
      <c r="A77" s="3" t="s">
        <v>40</v>
      </c>
      <c r="B77" s="4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  <c r="O77">
        <f t="shared" si="4"/>
        <v>0</v>
      </c>
      <c r="P77">
        <f t="shared" si="5"/>
        <v>0</v>
      </c>
      <c r="Q77">
        <f t="shared" si="6"/>
        <v>0</v>
      </c>
      <c r="R77">
        <f t="shared" si="7"/>
        <v>0</v>
      </c>
    </row>
    <row r="78" spans="1:18">
      <c r="A78" s="3" t="s">
        <v>41</v>
      </c>
      <c r="B78" s="4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  <c r="O78">
        <f t="shared" si="4"/>
        <v>0</v>
      </c>
      <c r="P78">
        <f t="shared" si="5"/>
        <v>1</v>
      </c>
      <c r="Q78">
        <f t="shared" si="6"/>
        <v>0</v>
      </c>
      <c r="R78">
        <f t="shared" si="7"/>
        <v>0</v>
      </c>
    </row>
    <row r="79" spans="1:18">
      <c r="A79" s="3" t="s">
        <v>41</v>
      </c>
      <c r="B79" s="4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  <c r="O79">
        <f t="shared" si="4"/>
        <v>0</v>
      </c>
      <c r="P79">
        <f t="shared" si="5"/>
        <v>1</v>
      </c>
      <c r="Q79">
        <f t="shared" si="6"/>
        <v>0</v>
      </c>
      <c r="R79">
        <f t="shared" si="7"/>
        <v>0</v>
      </c>
    </row>
    <row r="80" spans="1:18">
      <c r="A80" s="3" t="s">
        <v>41</v>
      </c>
      <c r="B80" s="4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  <c r="O80">
        <f t="shared" si="4"/>
        <v>0</v>
      </c>
      <c r="P80">
        <f t="shared" si="5"/>
        <v>1</v>
      </c>
      <c r="Q80">
        <f t="shared" si="6"/>
        <v>0</v>
      </c>
      <c r="R80">
        <f t="shared" si="7"/>
        <v>0</v>
      </c>
    </row>
    <row r="81" spans="1:18">
      <c r="A81" s="3" t="s">
        <v>41</v>
      </c>
      <c r="B81" s="4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  <c r="O81">
        <f t="shared" si="4"/>
        <v>0</v>
      </c>
      <c r="P81">
        <f t="shared" si="5"/>
        <v>1</v>
      </c>
      <c r="Q81">
        <f t="shared" si="6"/>
        <v>0</v>
      </c>
      <c r="R81">
        <f t="shared" si="7"/>
        <v>0</v>
      </c>
    </row>
    <row r="82" spans="1:18">
      <c r="A82" s="3" t="s">
        <v>42</v>
      </c>
      <c r="B82" s="4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  <c r="O82">
        <f t="shared" si="4"/>
        <v>0</v>
      </c>
      <c r="P82">
        <f t="shared" si="5"/>
        <v>0</v>
      </c>
      <c r="Q82">
        <f t="shared" si="6"/>
        <v>1</v>
      </c>
      <c r="R82">
        <f t="shared" si="7"/>
        <v>0</v>
      </c>
    </row>
    <row r="83" spans="1:18">
      <c r="A83" s="3" t="s">
        <v>42</v>
      </c>
      <c r="B83" s="4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  <c r="O83">
        <f t="shared" si="4"/>
        <v>0</v>
      </c>
      <c r="P83">
        <f t="shared" si="5"/>
        <v>0</v>
      </c>
      <c r="Q83">
        <f t="shared" si="6"/>
        <v>1</v>
      </c>
      <c r="R83">
        <f t="shared" si="7"/>
        <v>0</v>
      </c>
    </row>
    <row r="84" spans="1:18">
      <c r="A84" s="3" t="s">
        <v>42</v>
      </c>
      <c r="B84" s="4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  <c r="O84">
        <f t="shared" si="4"/>
        <v>0</v>
      </c>
      <c r="P84">
        <f t="shared" si="5"/>
        <v>0</v>
      </c>
      <c r="Q84">
        <f t="shared" si="6"/>
        <v>1</v>
      </c>
      <c r="R84">
        <f t="shared" si="7"/>
        <v>0</v>
      </c>
    </row>
    <row r="85" spans="1:18">
      <c r="A85" s="3" t="s">
        <v>42</v>
      </c>
      <c r="B85" s="4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  <c r="O85">
        <f t="shared" si="4"/>
        <v>0</v>
      </c>
      <c r="P85">
        <f t="shared" si="5"/>
        <v>0</v>
      </c>
      <c r="Q85">
        <f t="shared" si="6"/>
        <v>1</v>
      </c>
      <c r="R85">
        <f t="shared" si="7"/>
        <v>0</v>
      </c>
    </row>
    <row r="86" spans="1:18">
      <c r="A86" s="3" t="s">
        <v>43</v>
      </c>
      <c r="B86" s="4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  <c r="O86">
        <f t="shared" si="4"/>
        <v>0</v>
      </c>
      <c r="P86">
        <f t="shared" si="5"/>
        <v>0</v>
      </c>
      <c r="Q86">
        <f t="shared" si="6"/>
        <v>0</v>
      </c>
      <c r="R86">
        <f t="shared" si="7"/>
        <v>0</v>
      </c>
    </row>
    <row r="87" spans="1:18">
      <c r="A87" s="3" t="s">
        <v>43</v>
      </c>
      <c r="B87" s="4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>
        <v>3.92</v>
      </c>
      <c r="M87" s="3">
        <v>611766.72</v>
      </c>
      <c r="N87" s="3">
        <v>88275.61</v>
      </c>
      <c r="O87">
        <f t="shared" si="4"/>
        <v>0</v>
      </c>
      <c r="P87">
        <f t="shared" si="5"/>
        <v>0</v>
      </c>
      <c r="Q87">
        <f t="shared" si="6"/>
        <v>0</v>
      </c>
      <c r="R87">
        <f t="shared" si="7"/>
        <v>0</v>
      </c>
    </row>
    <row r="88" spans="1:18">
      <c r="A88" s="3" t="s">
        <v>43</v>
      </c>
      <c r="B88" s="4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  <c r="O88">
        <f t="shared" si="4"/>
        <v>0</v>
      </c>
      <c r="P88">
        <f t="shared" si="5"/>
        <v>0</v>
      </c>
      <c r="Q88">
        <f t="shared" si="6"/>
        <v>0</v>
      </c>
      <c r="R88">
        <f t="shared" si="7"/>
        <v>0</v>
      </c>
    </row>
    <row r="89" spans="1:18">
      <c r="A89" s="3" t="s">
        <v>43</v>
      </c>
      <c r="B89" s="4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  <c r="O89">
        <f t="shared" si="4"/>
        <v>0</v>
      </c>
      <c r="P89">
        <f t="shared" si="5"/>
        <v>0</v>
      </c>
      <c r="Q89">
        <f t="shared" si="6"/>
        <v>0</v>
      </c>
      <c r="R89">
        <f t="shared" si="7"/>
        <v>0</v>
      </c>
    </row>
    <row r="90" spans="1:18">
      <c r="A90" s="3" t="s">
        <v>44</v>
      </c>
      <c r="B90" s="4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  <c r="O90">
        <f t="shared" si="4"/>
        <v>0</v>
      </c>
      <c r="P90">
        <f t="shared" si="5"/>
        <v>1</v>
      </c>
      <c r="Q90">
        <f t="shared" si="6"/>
        <v>1</v>
      </c>
      <c r="R90">
        <f t="shared" si="7"/>
        <v>0</v>
      </c>
    </row>
    <row r="91" spans="1:18">
      <c r="A91" s="3" t="s">
        <v>44</v>
      </c>
      <c r="B91" s="4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  <c r="O91">
        <f t="shared" si="4"/>
        <v>0</v>
      </c>
      <c r="P91">
        <f t="shared" si="5"/>
        <v>1</v>
      </c>
      <c r="Q91">
        <f t="shared" si="6"/>
        <v>1</v>
      </c>
      <c r="R91">
        <f t="shared" si="7"/>
        <v>0</v>
      </c>
    </row>
    <row r="92" spans="1:18">
      <c r="A92" s="3" t="s">
        <v>44</v>
      </c>
      <c r="B92" s="4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  <c r="O92">
        <f t="shared" si="4"/>
        <v>0</v>
      </c>
      <c r="P92">
        <f t="shared" si="5"/>
        <v>1</v>
      </c>
      <c r="Q92">
        <f t="shared" si="6"/>
        <v>1</v>
      </c>
      <c r="R92">
        <f t="shared" si="7"/>
        <v>0</v>
      </c>
    </row>
    <row r="93" spans="1:18">
      <c r="A93" s="3" t="s">
        <v>44</v>
      </c>
      <c r="B93" s="4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  <c r="O93">
        <f t="shared" si="4"/>
        <v>0</v>
      </c>
      <c r="P93">
        <f t="shared" si="5"/>
        <v>1</v>
      </c>
      <c r="Q93">
        <f t="shared" si="6"/>
        <v>1</v>
      </c>
      <c r="R93">
        <f t="shared" si="7"/>
        <v>0</v>
      </c>
    </row>
    <row r="94" spans="1:18">
      <c r="A94" s="3" t="s">
        <v>45</v>
      </c>
      <c r="B94" s="4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  <c r="O94">
        <f t="shared" si="4"/>
        <v>0</v>
      </c>
      <c r="P94">
        <f t="shared" si="5"/>
        <v>0</v>
      </c>
      <c r="Q94">
        <f t="shared" si="6"/>
        <v>0</v>
      </c>
      <c r="R94">
        <f t="shared" si="7"/>
        <v>0</v>
      </c>
    </row>
    <row r="95" spans="1:18">
      <c r="A95" s="3" t="s">
        <v>45</v>
      </c>
      <c r="B95" s="4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  <c r="O95">
        <f t="shared" si="4"/>
        <v>0</v>
      </c>
      <c r="P95">
        <f t="shared" si="5"/>
        <v>0</v>
      </c>
      <c r="Q95">
        <f t="shared" si="6"/>
        <v>0</v>
      </c>
      <c r="R95">
        <f t="shared" si="7"/>
        <v>0</v>
      </c>
    </row>
    <row r="96" spans="1:18">
      <c r="A96" s="3" t="s">
        <v>45</v>
      </c>
      <c r="B96" s="4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  <c r="O96">
        <f t="shared" si="4"/>
        <v>0</v>
      </c>
      <c r="P96">
        <f t="shared" si="5"/>
        <v>0</v>
      </c>
      <c r="Q96">
        <f t="shared" si="6"/>
        <v>0</v>
      </c>
      <c r="R96">
        <f t="shared" si="7"/>
        <v>0</v>
      </c>
    </row>
    <row r="97" spans="1:18">
      <c r="A97" s="3" t="s">
        <v>45</v>
      </c>
      <c r="B97" s="4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  <c r="O97">
        <f t="shared" si="4"/>
        <v>0</v>
      </c>
      <c r="P97">
        <f t="shared" si="5"/>
        <v>0</v>
      </c>
      <c r="Q97">
        <f t="shared" si="6"/>
        <v>0</v>
      </c>
      <c r="R97">
        <f t="shared" si="7"/>
        <v>0</v>
      </c>
    </row>
    <row r="98" spans="1:18">
      <c r="A98" s="3" t="s">
        <v>46</v>
      </c>
      <c r="B98" s="4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  <c r="O98">
        <f t="shared" si="4"/>
        <v>0</v>
      </c>
      <c r="P98">
        <f t="shared" si="5"/>
        <v>0</v>
      </c>
      <c r="Q98">
        <f t="shared" si="6"/>
        <v>1</v>
      </c>
      <c r="R98">
        <f t="shared" si="7"/>
        <v>0</v>
      </c>
    </row>
    <row r="99" spans="1:18">
      <c r="A99" s="3" t="s">
        <v>46</v>
      </c>
      <c r="B99" s="4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  <c r="O99">
        <f t="shared" si="4"/>
        <v>0</v>
      </c>
      <c r="P99">
        <f t="shared" si="5"/>
        <v>0</v>
      </c>
      <c r="Q99">
        <f t="shared" si="6"/>
        <v>1</v>
      </c>
      <c r="R99">
        <f t="shared" si="7"/>
        <v>0</v>
      </c>
    </row>
    <row r="100" spans="1:18">
      <c r="A100" s="3" t="s">
        <v>46</v>
      </c>
      <c r="B100" s="4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>
        <v>4.5599999999999996</v>
      </c>
      <c r="K100" s="3">
        <v>0</v>
      </c>
      <c r="L100" s="3">
        <v>4.3</v>
      </c>
      <c r="M100" s="3">
        <v>605775.32999999996</v>
      </c>
      <c r="N100" s="3">
        <v>107194.6</v>
      </c>
      <c r="O100">
        <f t="shared" si="4"/>
        <v>0</v>
      </c>
      <c r="P100">
        <f t="shared" si="5"/>
        <v>0</v>
      </c>
      <c r="Q100">
        <f t="shared" si="6"/>
        <v>1</v>
      </c>
      <c r="R100">
        <f t="shared" si="7"/>
        <v>0</v>
      </c>
    </row>
    <row r="101" spans="1:18">
      <c r="A101" s="3" t="s">
        <v>46</v>
      </c>
      <c r="B101" s="4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  <c r="O101">
        <f t="shared" si="4"/>
        <v>0</v>
      </c>
      <c r="P101">
        <f t="shared" si="5"/>
        <v>0</v>
      </c>
      <c r="Q101">
        <f t="shared" si="6"/>
        <v>1</v>
      </c>
      <c r="R101">
        <f t="shared" si="7"/>
        <v>0</v>
      </c>
    </row>
    <row r="102" spans="1:18">
      <c r="A102" s="3" t="s">
        <v>47</v>
      </c>
      <c r="B102" s="4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  <c r="O102">
        <f t="shared" si="4"/>
        <v>0</v>
      </c>
      <c r="P102">
        <f t="shared" si="5"/>
        <v>0</v>
      </c>
      <c r="Q102">
        <f t="shared" si="6"/>
        <v>1</v>
      </c>
      <c r="R102">
        <f t="shared" si="7"/>
        <v>0</v>
      </c>
    </row>
    <row r="103" spans="1:18">
      <c r="A103" s="3" t="s">
        <v>47</v>
      </c>
      <c r="B103" s="4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  <c r="O103">
        <f t="shared" si="4"/>
        <v>0</v>
      </c>
      <c r="P103">
        <f t="shared" si="5"/>
        <v>0</v>
      </c>
      <c r="Q103">
        <f t="shared" si="6"/>
        <v>1</v>
      </c>
      <c r="R103">
        <f t="shared" si="7"/>
        <v>0</v>
      </c>
    </row>
    <row r="104" spans="1:18">
      <c r="A104" s="3" t="s">
        <v>47</v>
      </c>
      <c r="B104" s="4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  <c r="O104">
        <f t="shared" si="4"/>
        <v>0</v>
      </c>
      <c r="P104">
        <f t="shared" si="5"/>
        <v>0</v>
      </c>
      <c r="Q104">
        <f t="shared" si="6"/>
        <v>1</v>
      </c>
      <c r="R104">
        <f t="shared" si="7"/>
        <v>0</v>
      </c>
    </row>
    <row r="105" spans="1:18">
      <c r="A105" s="3" t="s">
        <v>47</v>
      </c>
      <c r="B105" s="4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  <c r="O105">
        <f t="shared" si="4"/>
        <v>0</v>
      </c>
      <c r="P105">
        <f t="shared" si="5"/>
        <v>0</v>
      </c>
      <c r="Q105">
        <f t="shared" si="6"/>
        <v>1</v>
      </c>
      <c r="R105">
        <f t="shared" si="7"/>
        <v>0</v>
      </c>
    </row>
    <row r="106" spans="1:18">
      <c r="A106" s="3" t="s">
        <v>48</v>
      </c>
      <c r="B106" s="4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  <c r="O106">
        <f t="shared" si="4"/>
        <v>0</v>
      </c>
      <c r="P106">
        <f t="shared" si="5"/>
        <v>0</v>
      </c>
      <c r="Q106">
        <f t="shared" si="6"/>
        <v>0</v>
      </c>
      <c r="R106">
        <f t="shared" si="7"/>
        <v>0</v>
      </c>
    </row>
    <row r="107" spans="1:18">
      <c r="A107" s="3" t="s">
        <v>48</v>
      </c>
      <c r="B107" s="4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  <c r="O107">
        <f t="shared" si="4"/>
        <v>0</v>
      </c>
      <c r="P107">
        <f t="shared" si="5"/>
        <v>0</v>
      </c>
      <c r="Q107">
        <f t="shared" si="6"/>
        <v>0</v>
      </c>
      <c r="R107">
        <f t="shared" si="7"/>
        <v>0</v>
      </c>
    </row>
    <row r="108" spans="1:18">
      <c r="A108" s="3" t="s">
        <v>48</v>
      </c>
      <c r="B108" s="4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  <c r="O108">
        <f t="shared" si="4"/>
        <v>0</v>
      </c>
      <c r="P108">
        <f t="shared" si="5"/>
        <v>0</v>
      </c>
      <c r="Q108">
        <f t="shared" si="6"/>
        <v>0</v>
      </c>
      <c r="R108">
        <f t="shared" si="7"/>
        <v>0</v>
      </c>
    </row>
    <row r="109" spans="1:18">
      <c r="A109" s="3" t="s">
        <v>48</v>
      </c>
      <c r="B109" s="4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  <c r="O109">
        <f t="shared" si="4"/>
        <v>0</v>
      </c>
      <c r="P109">
        <f t="shared" si="5"/>
        <v>0</v>
      </c>
      <c r="Q109">
        <f t="shared" si="6"/>
        <v>0</v>
      </c>
      <c r="R109">
        <f t="shared" si="7"/>
        <v>0</v>
      </c>
    </row>
    <row r="110" spans="1:18">
      <c r="A110" s="3" t="s">
        <v>49</v>
      </c>
      <c r="B110" s="4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  <c r="O110">
        <f t="shared" si="4"/>
        <v>0</v>
      </c>
      <c r="P110">
        <f t="shared" si="5"/>
        <v>0</v>
      </c>
      <c r="Q110">
        <f t="shared" si="6"/>
        <v>1</v>
      </c>
      <c r="R110">
        <f t="shared" si="7"/>
        <v>0</v>
      </c>
    </row>
    <row r="111" spans="1:18">
      <c r="A111" s="3" t="s">
        <v>49</v>
      </c>
      <c r="B111" s="4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  <c r="O111">
        <f t="shared" si="4"/>
        <v>0</v>
      </c>
      <c r="P111">
        <f t="shared" si="5"/>
        <v>0</v>
      </c>
      <c r="Q111">
        <f t="shared" si="6"/>
        <v>1</v>
      </c>
      <c r="R111">
        <f t="shared" si="7"/>
        <v>0</v>
      </c>
    </row>
    <row r="112" spans="1:18">
      <c r="A112" s="3" t="s">
        <v>49</v>
      </c>
      <c r="B112" s="4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  <c r="O112">
        <f t="shared" si="4"/>
        <v>0</v>
      </c>
      <c r="P112">
        <f t="shared" si="5"/>
        <v>0</v>
      </c>
      <c r="Q112">
        <f t="shared" si="6"/>
        <v>1</v>
      </c>
      <c r="R112">
        <f t="shared" si="7"/>
        <v>0</v>
      </c>
    </row>
    <row r="113" spans="1:18">
      <c r="A113" s="3" t="s">
        <v>49</v>
      </c>
      <c r="B113" s="4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  <c r="O113">
        <f t="shared" si="4"/>
        <v>0</v>
      </c>
      <c r="P113">
        <f t="shared" si="5"/>
        <v>0</v>
      </c>
      <c r="Q113">
        <f t="shared" si="6"/>
        <v>1</v>
      </c>
      <c r="R113">
        <f t="shared" si="7"/>
        <v>0</v>
      </c>
    </row>
    <row r="114" spans="1:18">
      <c r="A114" s="3" t="s">
        <v>50</v>
      </c>
      <c r="B114" s="4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  <c r="O114">
        <f t="shared" si="4"/>
        <v>0</v>
      </c>
      <c r="P114">
        <f t="shared" si="5"/>
        <v>0</v>
      </c>
      <c r="Q114">
        <f t="shared" si="6"/>
        <v>1</v>
      </c>
      <c r="R114">
        <f t="shared" si="7"/>
        <v>0</v>
      </c>
    </row>
    <row r="115" spans="1:18">
      <c r="A115" s="3" t="s">
        <v>50</v>
      </c>
      <c r="B115" s="4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  <c r="O115">
        <f t="shared" si="4"/>
        <v>0</v>
      </c>
      <c r="P115">
        <f t="shared" si="5"/>
        <v>0</v>
      </c>
      <c r="Q115">
        <f t="shared" si="6"/>
        <v>1</v>
      </c>
      <c r="R115">
        <f t="shared" si="7"/>
        <v>0</v>
      </c>
    </row>
    <row r="116" spans="1:18">
      <c r="A116" s="3" t="s">
        <v>50</v>
      </c>
      <c r="B116" s="4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  <c r="O116">
        <f t="shared" si="4"/>
        <v>0</v>
      </c>
      <c r="P116">
        <f t="shared" si="5"/>
        <v>0</v>
      </c>
      <c r="Q116">
        <f t="shared" si="6"/>
        <v>1</v>
      </c>
      <c r="R116">
        <f t="shared" si="7"/>
        <v>0</v>
      </c>
    </row>
    <row r="117" spans="1:18">
      <c r="A117" s="3" t="s">
        <v>50</v>
      </c>
      <c r="B117" s="4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  <c r="O117">
        <f t="shared" si="4"/>
        <v>0</v>
      </c>
      <c r="P117">
        <f t="shared" si="5"/>
        <v>0</v>
      </c>
      <c r="Q117">
        <f t="shared" si="6"/>
        <v>1</v>
      </c>
      <c r="R117">
        <f t="shared" si="7"/>
        <v>0</v>
      </c>
    </row>
    <row r="118" spans="1:18">
      <c r="A118" s="3" t="s">
        <v>51</v>
      </c>
      <c r="B118" s="4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  <c r="O118">
        <f t="shared" si="4"/>
        <v>0</v>
      </c>
      <c r="P118">
        <f t="shared" si="5"/>
        <v>0</v>
      </c>
      <c r="Q118">
        <f t="shared" si="6"/>
        <v>0</v>
      </c>
      <c r="R118">
        <f t="shared" si="7"/>
        <v>0</v>
      </c>
    </row>
    <row r="119" spans="1:18">
      <c r="A119" s="3" t="s">
        <v>51</v>
      </c>
      <c r="B119" s="4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  <c r="O119">
        <f t="shared" si="4"/>
        <v>0</v>
      </c>
      <c r="P119">
        <f t="shared" si="5"/>
        <v>0</v>
      </c>
      <c r="Q119">
        <f t="shared" si="6"/>
        <v>0</v>
      </c>
      <c r="R119">
        <f t="shared" si="7"/>
        <v>0</v>
      </c>
    </row>
    <row r="120" spans="1:18">
      <c r="A120" s="3" t="s">
        <v>51</v>
      </c>
      <c r="B120" s="4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  <c r="O120">
        <f t="shared" si="4"/>
        <v>0</v>
      </c>
      <c r="P120">
        <f t="shared" si="5"/>
        <v>0</v>
      </c>
      <c r="Q120">
        <f t="shared" si="6"/>
        <v>0</v>
      </c>
      <c r="R120">
        <f t="shared" si="7"/>
        <v>0</v>
      </c>
    </row>
    <row r="121" spans="1:18">
      <c r="A121" s="3" t="s">
        <v>51</v>
      </c>
      <c r="B121" s="4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  <c r="O121">
        <f t="shared" si="4"/>
        <v>0</v>
      </c>
      <c r="P121">
        <f t="shared" si="5"/>
        <v>0</v>
      </c>
      <c r="Q121">
        <f t="shared" si="6"/>
        <v>0</v>
      </c>
      <c r="R121">
        <f t="shared" si="7"/>
        <v>0</v>
      </c>
    </row>
    <row r="122" spans="1:18">
      <c r="A122" s="3" t="s">
        <v>52</v>
      </c>
      <c r="B122" s="4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  <c r="O122">
        <f t="shared" si="4"/>
        <v>1</v>
      </c>
      <c r="P122">
        <f t="shared" si="5"/>
        <v>0</v>
      </c>
      <c r="Q122">
        <f t="shared" si="6"/>
        <v>0</v>
      </c>
      <c r="R122">
        <f t="shared" si="7"/>
        <v>0</v>
      </c>
    </row>
    <row r="123" spans="1:18">
      <c r="A123" s="3" t="s">
        <v>52</v>
      </c>
      <c r="B123" s="4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  <c r="O123">
        <f t="shared" si="4"/>
        <v>1</v>
      </c>
      <c r="P123">
        <f t="shared" si="5"/>
        <v>0</v>
      </c>
      <c r="Q123">
        <f t="shared" si="6"/>
        <v>0</v>
      </c>
      <c r="R123">
        <f t="shared" si="7"/>
        <v>0</v>
      </c>
    </row>
    <row r="124" spans="1:18">
      <c r="A124" s="3" t="s">
        <v>52</v>
      </c>
      <c r="B124" s="4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  <c r="O124">
        <f t="shared" si="4"/>
        <v>1</v>
      </c>
      <c r="P124">
        <f t="shared" si="5"/>
        <v>0</v>
      </c>
      <c r="Q124">
        <f t="shared" si="6"/>
        <v>0</v>
      </c>
      <c r="R124">
        <f t="shared" si="7"/>
        <v>0</v>
      </c>
    </row>
    <row r="125" spans="1:18">
      <c r="A125" s="3" t="s">
        <v>52</v>
      </c>
      <c r="B125" s="4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  <c r="O125">
        <f t="shared" si="4"/>
        <v>1</v>
      </c>
      <c r="P125">
        <f t="shared" si="5"/>
        <v>0</v>
      </c>
      <c r="Q125">
        <f t="shared" si="6"/>
        <v>0</v>
      </c>
      <c r="R125">
        <f t="shared" si="7"/>
        <v>0</v>
      </c>
    </row>
    <row r="126" spans="1:18">
      <c r="A126" s="3" t="s">
        <v>53</v>
      </c>
      <c r="B126" s="4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  <c r="O126">
        <f t="shared" si="4"/>
        <v>0</v>
      </c>
      <c r="P126">
        <f t="shared" si="5"/>
        <v>1</v>
      </c>
      <c r="Q126">
        <f t="shared" si="6"/>
        <v>0</v>
      </c>
      <c r="R126">
        <f t="shared" si="7"/>
        <v>0</v>
      </c>
    </row>
    <row r="127" spans="1:18">
      <c r="A127" s="3" t="s">
        <v>53</v>
      </c>
      <c r="B127" s="4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  <c r="O127">
        <f t="shared" si="4"/>
        <v>0</v>
      </c>
      <c r="P127">
        <f t="shared" si="5"/>
        <v>1</v>
      </c>
      <c r="Q127">
        <f t="shared" si="6"/>
        <v>0</v>
      </c>
      <c r="R127">
        <f t="shared" si="7"/>
        <v>0</v>
      </c>
    </row>
    <row r="128" spans="1:18">
      <c r="A128" s="3" t="s">
        <v>53</v>
      </c>
      <c r="B128" s="4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  <c r="O128">
        <f t="shared" si="4"/>
        <v>0</v>
      </c>
      <c r="P128">
        <f t="shared" si="5"/>
        <v>1</v>
      </c>
      <c r="Q128">
        <f t="shared" si="6"/>
        <v>0</v>
      </c>
      <c r="R128">
        <f t="shared" si="7"/>
        <v>0</v>
      </c>
    </row>
    <row r="129" spans="1:18">
      <c r="A129" s="3" t="s">
        <v>53</v>
      </c>
      <c r="B129" s="4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  <c r="O129">
        <f t="shared" si="4"/>
        <v>0</v>
      </c>
      <c r="P129">
        <f t="shared" si="5"/>
        <v>1</v>
      </c>
      <c r="Q129">
        <f t="shared" si="6"/>
        <v>0</v>
      </c>
      <c r="R129">
        <f t="shared" si="7"/>
        <v>0</v>
      </c>
    </row>
    <row r="130" spans="1:18">
      <c r="A130" s="3" t="s">
        <v>54</v>
      </c>
      <c r="B130" s="4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  <c r="O130">
        <f t="shared" ref="O130:O193" si="8">IF(C130="North",1,0)</f>
        <v>0</v>
      </c>
      <c r="P130">
        <f t="shared" ref="P130:P193" si="9">IF(C130="South",1,0)</f>
        <v>0</v>
      </c>
      <c r="Q130">
        <f t="shared" ref="Q130:Q193" si="10">IF(D130="Mall",1,0)</f>
        <v>0</v>
      </c>
      <c r="R130">
        <f t="shared" ref="R130:R193" si="11">IF(D130="Standalone",1,0)</f>
        <v>0</v>
      </c>
    </row>
    <row r="131" spans="1:18">
      <c r="A131" s="3" t="s">
        <v>54</v>
      </c>
      <c r="B131" s="4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  <c r="O131">
        <f t="shared" si="8"/>
        <v>0</v>
      </c>
      <c r="P131">
        <f t="shared" si="9"/>
        <v>0</v>
      </c>
      <c r="Q131">
        <f t="shared" si="10"/>
        <v>0</v>
      </c>
      <c r="R131">
        <f t="shared" si="11"/>
        <v>0</v>
      </c>
    </row>
    <row r="132" spans="1:18">
      <c r="A132" s="3" t="s">
        <v>54</v>
      </c>
      <c r="B132" s="4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  <c r="O132">
        <f t="shared" si="8"/>
        <v>0</v>
      </c>
      <c r="P132">
        <f t="shared" si="9"/>
        <v>0</v>
      </c>
      <c r="Q132">
        <f t="shared" si="10"/>
        <v>0</v>
      </c>
      <c r="R132">
        <f t="shared" si="11"/>
        <v>0</v>
      </c>
    </row>
    <row r="133" spans="1:18">
      <c r="A133" s="3" t="s">
        <v>54</v>
      </c>
      <c r="B133" s="4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  <c r="O133">
        <f t="shared" si="8"/>
        <v>0</v>
      </c>
      <c r="P133">
        <f t="shared" si="9"/>
        <v>0</v>
      </c>
      <c r="Q133">
        <f t="shared" si="10"/>
        <v>0</v>
      </c>
      <c r="R133">
        <f t="shared" si="11"/>
        <v>0</v>
      </c>
    </row>
    <row r="134" spans="1:18">
      <c r="A134" s="3" t="s">
        <v>55</v>
      </c>
      <c r="B134" s="4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  <c r="O134">
        <f t="shared" si="8"/>
        <v>1</v>
      </c>
      <c r="P134">
        <f t="shared" si="9"/>
        <v>0</v>
      </c>
      <c r="Q134">
        <f t="shared" si="10"/>
        <v>0</v>
      </c>
      <c r="R134">
        <f t="shared" si="11"/>
        <v>0</v>
      </c>
    </row>
    <row r="135" spans="1:18">
      <c r="A135" s="3" t="s">
        <v>55</v>
      </c>
      <c r="B135" s="4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>
        <v>3.92</v>
      </c>
      <c r="M135" s="3">
        <v>400831.65</v>
      </c>
      <c r="N135" s="3">
        <v>70979.31</v>
      </c>
      <c r="O135">
        <f t="shared" si="8"/>
        <v>1</v>
      </c>
      <c r="P135">
        <f t="shared" si="9"/>
        <v>0</v>
      </c>
      <c r="Q135">
        <f t="shared" si="10"/>
        <v>0</v>
      </c>
      <c r="R135">
        <f t="shared" si="11"/>
        <v>0</v>
      </c>
    </row>
    <row r="136" spans="1:18">
      <c r="A136" s="3" t="s">
        <v>55</v>
      </c>
      <c r="B136" s="4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  <c r="O136">
        <f t="shared" si="8"/>
        <v>1</v>
      </c>
      <c r="P136">
        <f t="shared" si="9"/>
        <v>0</v>
      </c>
      <c r="Q136">
        <f t="shared" si="10"/>
        <v>0</v>
      </c>
      <c r="R136">
        <f t="shared" si="11"/>
        <v>0</v>
      </c>
    </row>
    <row r="137" spans="1:18">
      <c r="A137" s="3" t="s">
        <v>55</v>
      </c>
      <c r="B137" s="4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  <c r="O137">
        <f t="shared" si="8"/>
        <v>1</v>
      </c>
      <c r="P137">
        <f t="shared" si="9"/>
        <v>0</v>
      </c>
      <c r="Q137">
        <f t="shared" si="10"/>
        <v>0</v>
      </c>
      <c r="R137">
        <f t="shared" si="11"/>
        <v>0</v>
      </c>
    </row>
    <row r="138" spans="1:18">
      <c r="A138" s="3" t="s">
        <v>56</v>
      </c>
      <c r="B138" s="4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>
        <v>3.92</v>
      </c>
      <c r="M138" s="3">
        <v>633638.03</v>
      </c>
      <c r="N138" s="3">
        <v>99402.01</v>
      </c>
      <c r="O138">
        <f t="shared" si="8"/>
        <v>0</v>
      </c>
      <c r="P138">
        <f t="shared" si="9"/>
        <v>1</v>
      </c>
      <c r="Q138">
        <f t="shared" si="10"/>
        <v>0</v>
      </c>
      <c r="R138">
        <f t="shared" si="11"/>
        <v>0</v>
      </c>
    </row>
    <row r="139" spans="1:18">
      <c r="A139" s="3" t="s">
        <v>56</v>
      </c>
      <c r="B139" s="4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  <c r="O139">
        <f t="shared" si="8"/>
        <v>0</v>
      </c>
      <c r="P139">
        <f t="shared" si="9"/>
        <v>1</v>
      </c>
      <c r="Q139">
        <f t="shared" si="10"/>
        <v>0</v>
      </c>
      <c r="R139">
        <f t="shared" si="11"/>
        <v>0</v>
      </c>
    </row>
    <row r="140" spans="1:18">
      <c r="A140" s="3" t="s">
        <v>56</v>
      </c>
      <c r="B140" s="4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  <c r="O140">
        <f t="shared" si="8"/>
        <v>0</v>
      </c>
      <c r="P140">
        <f t="shared" si="9"/>
        <v>1</v>
      </c>
      <c r="Q140">
        <f t="shared" si="10"/>
        <v>0</v>
      </c>
      <c r="R140">
        <f t="shared" si="11"/>
        <v>0</v>
      </c>
    </row>
    <row r="141" spans="1:18">
      <c r="A141" s="3" t="s">
        <v>56</v>
      </c>
      <c r="B141" s="4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  <c r="O141">
        <f t="shared" si="8"/>
        <v>0</v>
      </c>
      <c r="P141">
        <f t="shared" si="9"/>
        <v>1</v>
      </c>
      <c r="Q141">
        <f t="shared" si="10"/>
        <v>0</v>
      </c>
      <c r="R141">
        <f t="shared" si="11"/>
        <v>0</v>
      </c>
    </row>
    <row r="142" spans="1:18">
      <c r="A142" s="3" t="s">
        <v>57</v>
      </c>
      <c r="B142" s="4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  <c r="O142">
        <f t="shared" si="8"/>
        <v>0</v>
      </c>
      <c r="P142">
        <f t="shared" si="9"/>
        <v>0</v>
      </c>
      <c r="Q142">
        <f t="shared" si="10"/>
        <v>0</v>
      </c>
      <c r="R142">
        <f t="shared" si="11"/>
        <v>0</v>
      </c>
    </row>
    <row r="143" spans="1:18">
      <c r="A143" s="3" t="s">
        <v>57</v>
      </c>
      <c r="B143" s="4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  <c r="O143">
        <f t="shared" si="8"/>
        <v>0</v>
      </c>
      <c r="P143">
        <f t="shared" si="9"/>
        <v>0</v>
      </c>
      <c r="Q143">
        <f t="shared" si="10"/>
        <v>0</v>
      </c>
      <c r="R143">
        <f t="shared" si="11"/>
        <v>0</v>
      </c>
    </row>
    <row r="144" spans="1:18">
      <c r="A144" s="3" t="s">
        <v>57</v>
      </c>
      <c r="B144" s="4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  <c r="O144">
        <f t="shared" si="8"/>
        <v>0</v>
      </c>
      <c r="P144">
        <f t="shared" si="9"/>
        <v>0</v>
      </c>
      <c r="Q144">
        <f t="shared" si="10"/>
        <v>0</v>
      </c>
      <c r="R144">
        <f t="shared" si="11"/>
        <v>0</v>
      </c>
    </row>
    <row r="145" spans="1:18">
      <c r="A145" s="3" t="s">
        <v>57</v>
      </c>
      <c r="B145" s="4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  <c r="O145">
        <f t="shared" si="8"/>
        <v>0</v>
      </c>
      <c r="P145">
        <f t="shared" si="9"/>
        <v>0</v>
      </c>
      <c r="Q145">
        <f t="shared" si="10"/>
        <v>0</v>
      </c>
      <c r="R145">
        <f t="shared" si="11"/>
        <v>0</v>
      </c>
    </row>
    <row r="146" spans="1:18">
      <c r="A146" s="3" t="s">
        <v>58</v>
      </c>
      <c r="B146" s="4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  <c r="O146">
        <f t="shared" si="8"/>
        <v>1</v>
      </c>
      <c r="P146">
        <f t="shared" si="9"/>
        <v>0</v>
      </c>
      <c r="Q146">
        <f t="shared" si="10"/>
        <v>0</v>
      </c>
      <c r="R146">
        <f t="shared" si="11"/>
        <v>0</v>
      </c>
    </row>
    <row r="147" spans="1:18">
      <c r="A147" s="3" t="s">
        <v>58</v>
      </c>
      <c r="B147" s="4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  <c r="O147">
        <f t="shared" si="8"/>
        <v>1</v>
      </c>
      <c r="P147">
        <f t="shared" si="9"/>
        <v>0</v>
      </c>
      <c r="Q147">
        <f t="shared" si="10"/>
        <v>0</v>
      </c>
      <c r="R147">
        <f t="shared" si="11"/>
        <v>0</v>
      </c>
    </row>
    <row r="148" spans="1:18">
      <c r="A148" s="3" t="s">
        <v>58</v>
      </c>
      <c r="B148" s="4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  <c r="O148">
        <f t="shared" si="8"/>
        <v>1</v>
      </c>
      <c r="P148">
        <f t="shared" si="9"/>
        <v>0</v>
      </c>
      <c r="Q148">
        <f t="shared" si="10"/>
        <v>0</v>
      </c>
      <c r="R148">
        <f t="shared" si="11"/>
        <v>0</v>
      </c>
    </row>
    <row r="149" spans="1:18">
      <c r="A149" s="3" t="s">
        <v>58</v>
      </c>
      <c r="B149" s="4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  <c r="O149">
        <f t="shared" si="8"/>
        <v>1</v>
      </c>
      <c r="P149">
        <f t="shared" si="9"/>
        <v>0</v>
      </c>
      <c r="Q149">
        <f t="shared" si="10"/>
        <v>0</v>
      </c>
      <c r="R149">
        <f t="shared" si="11"/>
        <v>0</v>
      </c>
    </row>
    <row r="150" spans="1:18">
      <c r="A150" s="3" t="s">
        <v>59</v>
      </c>
      <c r="B150" s="4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  <c r="O150">
        <f t="shared" si="8"/>
        <v>0</v>
      </c>
      <c r="P150">
        <f t="shared" si="9"/>
        <v>1</v>
      </c>
      <c r="Q150">
        <f t="shared" si="10"/>
        <v>1</v>
      </c>
      <c r="R150">
        <f t="shared" si="11"/>
        <v>0</v>
      </c>
    </row>
    <row r="151" spans="1:18">
      <c r="A151" s="3" t="s">
        <v>59</v>
      </c>
      <c r="B151" s="4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  <c r="O151">
        <f t="shared" si="8"/>
        <v>0</v>
      </c>
      <c r="P151">
        <f t="shared" si="9"/>
        <v>1</v>
      </c>
      <c r="Q151">
        <f t="shared" si="10"/>
        <v>1</v>
      </c>
      <c r="R151">
        <f t="shared" si="11"/>
        <v>0</v>
      </c>
    </row>
    <row r="152" spans="1:18">
      <c r="A152" s="3" t="s">
        <v>59</v>
      </c>
      <c r="B152" s="4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  <c r="O152">
        <f t="shared" si="8"/>
        <v>0</v>
      </c>
      <c r="P152">
        <f t="shared" si="9"/>
        <v>1</v>
      </c>
      <c r="Q152">
        <f t="shared" si="10"/>
        <v>1</v>
      </c>
      <c r="R152">
        <f t="shared" si="11"/>
        <v>0</v>
      </c>
    </row>
    <row r="153" spans="1:18">
      <c r="A153" s="3" t="s">
        <v>59</v>
      </c>
      <c r="B153" s="4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  <c r="O153">
        <f t="shared" si="8"/>
        <v>0</v>
      </c>
      <c r="P153">
        <f t="shared" si="9"/>
        <v>1</v>
      </c>
      <c r="Q153">
        <f t="shared" si="10"/>
        <v>1</v>
      </c>
      <c r="R153">
        <f t="shared" si="11"/>
        <v>0</v>
      </c>
    </row>
    <row r="154" spans="1:18">
      <c r="A154" s="3" t="s">
        <v>60</v>
      </c>
      <c r="B154" s="4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  <c r="O154">
        <f t="shared" si="8"/>
        <v>0</v>
      </c>
      <c r="P154">
        <f t="shared" si="9"/>
        <v>0</v>
      </c>
      <c r="Q154">
        <f t="shared" si="10"/>
        <v>0</v>
      </c>
      <c r="R154">
        <f t="shared" si="11"/>
        <v>0</v>
      </c>
    </row>
    <row r="155" spans="1:18">
      <c r="A155" s="3" t="s">
        <v>60</v>
      </c>
      <c r="B155" s="4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  <c r="O155">
        <f t="shared" si="8"/>
        <v>0</v>
      </c>
      <c r="P155">
        <f t="shared" si="9"/>
        <v>0</v>
      </c>
      <c r="Q155">
        <f t="shared" si="10"/>
        <v>0</v>
      </c>
      <c r="R155">
        <f t="shared" si="11"/>
        <v>0</v>
      </c>
    </row>
    <row r="156" spans="1:18">
      <c r="A156" s="3" t="s">
        <v>60</v>
      </c>
      <c r="B156" s="4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  <c r="O156">
        <f t="shared" si="8"/>
        <v>0</v>
      </c>
      <c r="P156">
        <f t="shared" si="9"/>
        <v>0</v>
      </c>
      <c r="Q156">
        <f t="shared" si="10"/>
        <v>0</v>
      </c>
      <c r="R156">
        <f t="shared" si="11"/>
        <v>0</v>
      </c>
    </row>
    <row r="157" spans="1:18">
      <c r="A157" s="3" t="s">
        <v>60</v>
      </c>
      <c r="B157" s="4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  <c r="O157">
        <f t="shared" si="8"/>
        <v>0</v>
      </c>
      <c r="P157">
        <f t="shared" si="9"/>
        <v>0</v>
      </c>
      <c r="Q157">
        <f t="shared" si="10"/>
        <v>0</v>
      </c>
      <c r="R157">
        <f t="shared" si="11"/>
        <v>0</v>
      </c>
    </row>
    <row r="158" spans="1:18">
      <c r="A158" s="3" t="s">
        <v>61</v>
      </c>
      <c r="B158" s="4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  <c r="O158">
        <f t="shared" si="8"/>
        <v>1</v>
      </c>
      <c r="P158">
        <f t="shared" si="9"/>
        <v>0</v>
      </c>
      <c r="Q158">
        <f t="shared" si="10"/>
        <v>1</v>
      </c>
      <c r="R158">
        <f t="shared" si="11"/>
        <v>0</v>
      </c>
    </row>
    <row r="159" spans="1:18">
      <c r="A159" s="3" t="s">
        <v>61</v>
      </c>
      <c r="B159" s="4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  <c r="O159">
        <f t="shared" si="8"/>
        <v>1</v>
      </c>
      <c r="P159">
        <f t="shared" si="9"/>
        <v>0</v>
      </c>
      <c r="Q159">
        <f t="shared" si="10"/>
        <v>1</v>
      </c>
      <c r="R159">
        <f t="shared" si="11"/>
        <v>0</v>
      </c>
    </row>
    <row r="160" spans="1:18">
      <c r="A160" s="3" t="s">
        <v>61</v>
      </c>
      <c r="B160" s="4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  <c r="O160">
        <f t="shared" si="8"/>
        <v>1</v>
      </c>
      <c r="P160">
        <f t="shared" si="9"/>
        <v>0</v>
      </c>
      <c r="Q160">
        <f t="shared" si="10"/>
        <v>1</v>
      </c>
      <c r="R160">
        <f t="shared" si="11"/>
        <v>0</v>
      </c>
    </row>
    <row r="161" spans="1:18">
      <c r="A161" s="3" t="s">
        <v>61</v>
      </c>
      <c r="B161" s="4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  <c r="O161">
        <f t="shared" si="8"/>
        <v>1</v>
      </c>
      <c r="P161">
        <f t="shared" si="9"/>
        <v>0</v>
      </c>
      <c r="Q161">
        <f t="shared" si="10"/>
        <v>1</v>
      </c>
      <c r="R161">
        <f t="shared" si="11"/>
        <v>0</v>
      </c>
    </row>
    <row r="162" spans="1:18">
      <c r="A162" s="3" t="s">
        <v>62</v>
      </c>
      <c r="B162" s="4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  <c r="O162">
        <f t="shared" si="8"/>
        <v>0</v>
      </c>
      <c r="P162">
        <f t="shared" si="9"/>
        <v>1</v>
      </c>
      <c r="Q162">
        <f t="shared" si="10"/>
        <v>0</v>
      </c>
      <c r="R162">
        <f t="shared" si="11"/>
        <v>0</v>
      </c>
    </row>
    <row r="163" spans="1:18">
      <c r="A163" s="3" t="s">
        <v>62</v>
      </c>
      <c r="B163" s="4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  <c r="O163">
        <f t="shared" si="8"/>
        <v>0</v>
      </c>
      <c r="P163">
        <f t="shared" si="9"/>
        <v>1</v>
      </c>
      <c r="Q163">
        <f t="shared" si="10"/>
        <v>0</v>
      </c>
      <c r="R163">
        <f t="shared" si="11"/>
        <v>0</v>
      </c>
    </row>
    <row r="164" spans="1:18">
      <c r="A164" s="3" t="s">
        <v>62</v>
      </c>
      <c r="B164" s="4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>
        <v>4.5599999999999996</v>
      </c>
      <c r="K164" s="3">
        <v>0</v>
      </c>
      <c r="L164" s="3">
        <v>4.2</v>
      </c>
      <c r="M164" s="3">
        <v>677096.71</v>
      </c>
      <c r="N164" s="3">
        <v>97174.11</v>
      </c>
      <c r="O164">
        <f t="shared" si="8"/>
        <v>0</v>
      </c>
      <c r="P164">
        <f t="shared" si="9"/>
        <v>1</v>
      </c>
      <c r="Q164">
        <f t="shared" si="10"/>
        <v>0</v>
      </c>
      <c r="R164">
        <f t="shared" si="11"/>
        <v>0</v>
      </c>
    </row>
    <row r="165" spans="1:18">
      <c r="A165" s="3" t="s">
        <v>62</v>
      </c>
      <c r="B165" s="4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  <c r="O165">
        <f t="shared" si="8"/>
        <v>0</v>
      </c>
      <c r="P165">
        <f t="shared" si="9"/>
        <v>1</v>
      </c>
      <c r="Q165">
        <f t="shared" si="10"/>
        <v>0</v>
      </c>
      <c r="R165">
        <f t="shared" si="11"/>
        <v>0</v>
      </c>
    </row>
    <row r="166" spans="1:18">
      <c r="A166" s="3" t="s">
        <v>63</v>
      </c>
      <c r="B166" s="4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  <c r="O166">
        <f t="shared" si="8"/>
        <v>1</v>
      </c>
      <c r="P166">
        <f t="shared" si="9"/>
        <v>0</v>
      </c>
      <c r="Q166">
        <f t="shared" si="10"/>
        <v>1</v>
      </c>
      <c r="R166">
        <f t="shared" si="11"/>
        <v>0</v>
      </c>
    </row>
    <row r="167" spans="1:18">
      <c r="A167" s="3" t="s">
        <v>63</v>
      </c>
      <c r="B167" s="4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  <c r="O167">
        <f t="shared" si="8"/>
        <v>1</v>
      </c>
      <c r="P167">
        <f t="shared" si="9"/>
        <v>0</v>
      </c>
      <c r="Q167">
        <f t="shared" si="10"/>
        <v>1</v>
      </c>
      <c r="R167">
        <f t="shared" si="11"/>
        <v>0</v>
      </c>
    </row>
    <row r="168" spans="1:18">
      <c r="A168" s="3" t="s">
        <v>63</v>
      </c>
      <c r="B168" s="4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  <c r="O168">
        <f t="shared" si="8"/>
        <v>1</v>
      </c>
      <c r="P168">
        <f t="shared" si="9"/>
        <v>0</v>
      </c>
      <c r="Q168">
        <f t="shared" si="10"/>
        <v>1</v>
      </c>
      <c r="R168">
        <f t="shared" si="11"/>
        <v>0</v>
      </c>
    </row>
    <row r="169" spans="1:18">
      <c r="A169" s="3" t="s">
        <v>63</v>
      </c>
      <c r="B169" s="4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  <c r="O169">
        <f t="shared" si="8"/>
        <v>1</v>
      </c>
      <c r="P169">
        <f t="shared" si="9"/>
        <v>0</v>
      </c>
      <c r="Q169">
        <f t="shared" si="10"/>
        <v>1</v>
      </c>
      <c r="R169">
        <f t="shared" si="11"/>
        <v>0</v>
      </c>
    </row>
    <row r="170" spans="1:18">
      <c r="A170" s="3" t="s">
        <v>64</v>
      </c>
      <c r="B170" s="4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  <c r="O170">
        <f t="shared" si="8"/>
        <v>0</v>
      </c>
      <c r="P170">
        <f t="shared" si="9"/>
        <v>0</v>
      </c>
      <c r="Q170">
        <f t="shared" si="10"/>
        <v>0</v>
      </c>
      <c r="R170">
        <f t="shared" si="11"/>
        <v>0</v>
      </c>
    </row>
    <row r="171" spans="1:18">
      <c r="A171" s="3" t="s">
        <v>64</v>
      </c>
      <c r="B171" s="4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  <c r="O171">
        <f t="shared" si="8"/>
        <v>0</v>
      </c>
      <c r="P171">
        <f t="shared" si="9"/>
        <v>0</v>
      </c>
      <c r="Q171">
        <f t="shared" si="10"/>
        <v>0</v>
      </c>
      <c r="R171">
        <f t="shared" si="11"/>
        <v>0</v>
      </c>
    </row>
    <row r="172" spans="1:18">
      <c r="A172" s="3" t="s">
        <v>64</v>
      </c>
      <c r="B172" s="4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  <c r="O172">
        <f t="shared" si="8"/>
        <v>0</v>
      </c>
      <c r="P172">
        <f t="shared" si="9"/>
        <v>0</v>
      </c>
      <c r="Q172">
        <f t="shared" si="10"/>
        <v>0</v>
      </c>
      <c r="R172">
        <f t="shared" si="11"/>
        <v>0</v>
      </c>
    </row>
    <row r="173" spans="1:18">
      <c r="A173" s="3" t="s">
        <v>64</v>
      </c>
      <c r="B173" s="4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  <c r="O173">
        <f t="shared" si="8"/>
        <v>0</v>
      </c>
      <c r="P173">
        <f t="shared" si="9"/>
        <v>0</v>
      </c>
      <c r="Q173">
        <f t="shared" si="10"/>
        <v>0</v>
      </c>
      <c r="R173">
        <f t="shared" si="11"/>
        <v>0</v>
      </c>
    </row>
    <row r="174" spans="1:18">
      <c r="A174" s="3" t="s">
        <v>65</v>
      </c>
      <c r="B174" s="4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  <c r="O174">
        <f t="shared" si="8"/>
        <v>0</v>
      </c>
      <c r="P174">
        <f t="shared" si="9"/>
        <v>0</v>
      </c>
      <c r="Q174">
        <f t="shared" si="10"/>
        <v>0</v>
      </c>
      <c r="R174">
        <f t="shared" si="11"/>
        <v>0</v>
      </c>
    </row>
    <row r="175" spans="1:18">
      <c r="A175" s="3" t="s">
        <v>65</v>
      </c>
      <c r="B175" s="4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  <c r="O175">
        <f t="shared" si="8"/>
        <v>0</v>
      </c>
      <c r="P175">
        <f t="shared" si="9"/>
        <v>0</v>
      </c>
      <c r="Q175">
        <f t="shared" si="10"/>
        <v>0</v>
      </c>
      <c r="R175">
        <f t="shared" si="11"/>
        <v>0</v>
      </c>
    </row>
    <row r="176" spans="1:18">
      <c r="A176" s="3" t="s">
        <v>65</v>
      </c>
      <c r="B176" s="4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  <c r="O176">
        <f t="shared" si="8"/>
        <v>0</v>
      </c>
      <c r="P176">
        <f t="shared" si="9"/>
        <v>0</v>
      </c>
      <c r="Q176">
        <f t="shared" si="10"/>
        <v>0</v>
      </c>
      <c r="R176">
        <f t="shared" si="11"/>
        <v>0</v>
      </c>
    </row>
    <row r="177" spans="1:18">
      <c r="A177" s="3" t="s">
        <v>65</v>
      </c>
      <c r="B177" s="4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  <c r="O177">
        <f t="shared" si="8"/>
        <v>0</v>
      </c>
      <c r="P177">
        <f t="shared" si="9"/>
        <v>0</v>
      </c>
      <c r="Q177">
        <f t="shared" si="10"/>
        <v>0</v>
      </c>
      <c r="R177">
        <f t="shared" si="11"/>
        <v>0</v>
      </c>
    </row>
    <row r="178" spans="1:18">
      <c r="A178" s="3" t="s">
        <v>66</v>
      </c>
      <c r="B178" s="4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  <c r="O178">
        <f t="shared" si="8"/>
        <v>0</v>
      </c>
      <c r="P178">
        <f t="shared" si="9"/>
        <v>0</v>
      </c>
      <c r="Q178">
        <f t="shared" si="10"/>
        <v>0</v>
      </c>
      <c r="R178">
        <f t="shared" si="11"/>
        <v>0</v>
      </c>
    </row>
    <row r="179" spans="1:18">
      <c r="A179" s="3" t="s">
        <v>66</v>
      </c>
      <c r="B179" s="4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  <c r="O179">
        <f t="shared" si="8"/>
        <v>0</v>
      </c>
      <c r="P179">
        <f t="shared" si="9"/>
        <v>0</v>
      </c>
      <c r="Q179">
        <f t="shared" si="10"/>
        <v>0</v>
      </c>
      <c r="R179">
        <f t="shared" si="11"/>
        <v>0</v>
      </c>
    </row>
    <row r="180" spans="1:18">
      <c r="A180" s="3" t="s">
        <v>66</v>
      </c>
      <c r="B180" s="4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  <c r="O180">
        <f t="shared" si="8"/>
        <v>0</v>
      </c>
      <c r="P180">
        <f t="shared" si="9"/>
        <v>0</v>
      </c>
      <c r="Q180">
        <f t="shared" si="10"/>
        <v>0</v>
      </c>
      <c r="R180">
        <f t="shared" si="11"/>
        <v>0</v>
      </c>
    </row>
    <row r="181" spans="1:18">
      <c r="A181" s="3" t="s">
        <v>66</v>
      </c>
      <c r="B181" s="4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  <c r="O181">
        <f t="shared" si="8"/>
        <v>0</v>
      </c>
      <c r="P181">
        <f t="shared" si="9"/>
        <v>0</v>
      </c>
      <c r="Q181">
        <f t="shared" si="10"/>
        <v>0</v>
      </c>
      <c r="R181">
        <f t="shared" si="11"/>
        <v>0</v>
      </c>
    </row>
    <row r="182" spans="1:18">
      <c r="A182" s="3" t="s">
        <v>67</v>
      </c>
      <c r="B182" s="4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  <c r="O182">
        <f t="shared" si="8"/>
        <v>0</v>
      </c>
      <c r="P182">
        <f t="shared" si="9"/>
        <v>0</v>
      </c>
      <c r="Q182">
        <f t="shared" si="10"/>
        <v>0</v>
      </c>
      <c r="R182">
        <f t="shared" si="11"/>
        <v>0</v>
      </c>
    </row>
    <row r="183" spans="1:18">
      <c r="A183" s="3" t="s">
        <v>67</v>
      </c>
      <c r="B183" s="4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  <c r="O183">
        <f t="shared" si="8"/>
        <v>0</v>
      </c>
      <c r="P183">
        <f t="shared" si="9"/>
        <v>0</v>
      </c>
      <c r="Q183">
        <f t="shared" si="10"/>
        <v>0</v>
      </c>
      <c r="R183">
        <f t="shared" si="11"/>
        <v>0</v>
      </c>
    </row>
    <row r="184" spans="1:18">
      <c r="A184" s="3" t="s">
        <v>67</v>
      </c>
      <c r="B184" s="4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  <c r="O184">
        <f t="shared" si="8"/>
        <v>0</v>
      </c>
      <c r="P184">
        <f t="shared" si="9"/>
        <v>0</v>
      </c>
      <c r="Q184">
        <f t="shared" si="10"/>
        <v>0</v>
      </c>
      <c r="R184">
        <f t="shared" si="11"/>
        <v>0</v>
      </c>
    </row>
    <row r="185" spans="1:18">
      <c r="A185" s="3" t="s">
        <v>67</v>
      </c>
      <c r="B185" s="4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  <c r="O185">
        <f t="shared" si="8"/>
        <v>0</v>
      </c>
      <c r="P185">
        <f t="shared" si="9"/>
        <v>0</v>
      </c>
      <c r="Q185">
        <f t="shared" si="10"/>
        <v>0</v>
      </c>
      <c r="R185">
        <f t="shared" si="11"/>
        <v>0</v>
      </c>
    </row>
    <row r="186" spans="1:18">
      <c r="A186" s="3" t="s">
        <v>68</v>
      </c>
      <c r="B186" s="4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  <c r="O186">
        <f t="shared" si="8"/>
        <v>1</v>
      </c>
      <c r="P186">
        <f t="shared" si="9"/>
        <v>0</v>
      </c>
      <c r="Q186">
        <f t="shared" si="10"/>
        <v>0</v>
      </c>
      <c r="R186">
        <f t="shared" si="11"/>
        <v>0</v>
      </c>
    </row>
    <row r="187" spans="1:18">
      <c r="A187" s="3" t="s">
        <v>68</v>
      </c>
      <c r="B187" s="4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  <c r="O187">
        <f t="shared" si="8"/>
        <v>1</v>
      </c>
      <c r="P187">
        <f t="shared" si="9"/>
        <v>0</v>
      </c>
      <c r="Q187">
        <f t="shared" si="10"/>
        <v>0</v>
      </c>
      <c r="R187">
        <f t="shared" si="11"/>
        <v>0</v>
      </c>
    </row>
    <row r="188" spans="1:18">
      <c r="A188" s="3" t="s">
        <v>68</v>
      </c>
      <c r="B188" s="4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  <c r="O188">
        <f t="shared" si="8"/>
        <v>1</v>
      </c>
      <c r="P188">
        <f t="shared" si="9"/>
        <v>0</v>
      </c>
      <c r="Q188">
        <f t="shared" si="10"/>
        <v>0</v>
      </c>
      <c r="R188">
        <f t="shared" si="11"/>
        <v>0</v>
      </c>
    </row>
    <row r="189" spans="1:18">
      <c r="A189" s="3" t="s">
        <v>68</v>
      </c>
      <c r="B189" s="4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  <c r="O189">
        <f t="shared" si="8"/>
        <v>1</v>
      </c>
      <c r="P189">
        <f t="shared" si="9"/>
        <v>0</v>
      </c>
      <c r="Q189">
        <f t="shared" si="10"/>
        <v>0</v>
      </c>
      <c r="R189">
        <f t="shared" si="11"/>
        <v>0</v>
      </c>
    </row>
    <row r="190" spans="1:18">
      <c r="A190" s="3" t="s">
        <v>69</v>
      </c>
      <c r="B190" s="4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  <c r="O190">
        <f t="shared" si="8"/>
        <v>0</v>
      </c>
      <c r="P190">
        <f t="shared" si="9"/>
        <v>0</v>
      </c>
      <c r="Q190">
        <f t="shared" si="10"/>
        <v>0</v>
      </c>
      <c r="R190">
        <f t="shared" si="11"/>
        <v>0</v>
      </c>
    </row>
    <row r="191" spans="1:18">
      <c r="A191" s="3" t="s">
        <v>69</v>
      </c>
      <c r="B191" s="4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  <c r="O191">
        <f t="shared" si="8"/>
        <v>0</v>
      </c>
      <c r="P191">
        <f t="shared" si="9"/>
        <v>0</v>
      </c>
      <c r="Q191">
        <f t="shared" si="10"/>
        <v>0</v>
      </c>
      <c r="R191">
        <f t="shared" si="11"/>
        <v>0</v>
      </c>
    </row>
    <row r="192" spans="1:18">
      <c r="A192" s="3" t="s">
        <v>69</v>
      </c>
      <c r="B192" s="4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  <c r="O192">
        <f t="shared" si="8"/>
        <v>0</v>
      </c>
      <c r="P192">
        <f t="shared" si="9"/>
        <v>0</v>
      </c>
      <c r="Q192">
        <f t="shared" si="10"/>
        <v>0</v>
      </c>
      <c r="R192">
        <f t="shared" si="11"/>
        <v>0</v>
      </c>
    </row>
    <row r="193" spans="1:18">
      <c r="A193" s="3" t="s">
        <v>69</v>
      </c>
      <c r="B193" s="4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  <c r="O193">
        <f t="shared" si="8"/>
        <v>0</v>
      </c>
      <c r="P193">
        <f t="shared" si="9"/>
        <v>0</v>
      </c>
      <c r="Q193">
        <f t="shared" si="10"/>
        <v>0</v>
      </c>
      <c r="R193">
        <f t="shared" si="11"/>
        <v>0</v>
      </c>
    </row>
    <row r="194" spans="1:18">
      <c r="A194" s="3" t="s">
        <v>70</v>
      </c>
      <c r="B194" s="4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  <c r="O194">
        <f t="shared" ref="O194:O257" si="12">IF(C194="North",1,0)</f>
        <v>0</v>
      </c>
      <c r="P194">
        <f t="shared" ref="P194:P257" si="13">IF(C194="South",1,0)</f>
        <v>0</v>
      </c>
      <c r="Q194">
        <f t="shared" ref="Q194:Q257" si="14">IF(D194="Mall",1,0)</f>
        <v>0</v>
      </c>
      <c r="R194">
        <f t="shared" ref="R194:R257" si="15">IF(D194="Standalone",1,0)</f>
        <v>0</v>
      </c>
    </row>
    <row r="195" spans="1:18">
      <c r="A195" s="3" t="s">
        <v>70</v>
      </c>
      <c r="B195" s="4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  <c r="O195">
        <f t="shared" si="12"/>
        <v>0</v>
      </c>
      <c r="P195">
        <f t="shared" si="13"/>
        <v>0</v>
      </c>
      <c r="Q195">
        <f t="shared" si="14"/>
        <v>0</v>
      </c>
      <c r="R195">
        <f t="shared" si="15"/>
        <v>0</v>
      </c>
    </row>
    <row r="196" spans="1:18">
      <c r="A196" s="3" t="s">
        <v>70</v>
      </c>
      <c r="B196" s="4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  <c r="O196">
        <f t="shared" si="12"/>
        <v>0</v>
      </c>
      <c r="P196">
        <f t="shared" si="13"/>
        <v>0</v>
      </c>
      <c r="Q196">
        <f t="shared" si="14"/>
        <v>0</v>
      </c>
      <c r="R196">
        <f t="shared" si="15"/>
        <v>0</v>
      </c>
    </row>
    <row r="197" spans="1:18">
      <c r="A197" s="3" t="s">
        <v>70</v>
      </c>
      <c r="B197" s="4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>
        <v>3.92</v>
      </c>
      <c r="M197" s="3">
        <v>449465.06</v>
      </c>
      <c r="N197" s="3">
        <v>65694.78</v>
      </c>
      <c r="O197">
        <f t="shared" si="12"/>
        <v>0</v>
      </c>
      <c r="P197">
        <f t="shared" si="13"/>
        <v>0</v>
      </c>
      <c r="Q197">
        <f t="shared" si="14"/>
        <v>0</v>
      </c>
      <c r="R197">
        <f t="shared" si="15"/>
        <v>0</v>
      </c>
    </row>
    <row r="198" spans="1:18">
      <c r="A198" s="3" t="s">
        <v>71</v>
      </c>
      <c r="B198" s="4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  <c r="O198">
        <f t="shared" si="12"/>
        <v>1</v>
      </c>
      <c r="P198">
        <f t="shared" si="13"/>
        <v>0</v>
      </c>
      <c r="Q198">
        <f t="shared" si="14"/>
        <v>0</v>
      </c>
      <c r="R198">
        <f t="shared" si="15"/>
        <v>0</v>
      </c>
    </row>
    <row r="199" spans="1:18">
      <c r="A199" s="3" t="s">
        <v>71</v>
      </c>
      <c r="B199" s="4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  <c r="O199">
        <f t="shared" si="12"/>
        <v>1</v>
      </c>
      <c r="P199">
        <f t="shared" si="13"/>
        <v>0</v>
      </c>
      <c r="Q199">
        <f t="shared" si="14"/>
        <v>0</v>
      </c>
      <c r="R199">
        <f t="shared" si="15"/>
        <v>0</v>
      </c>
    </row>
    <row r="200" spans="1:18">
      <c r="A200" s="3" t="s">
        <v>71</v>
      </c>
      <c r="B200" s="4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  <c r="O200">
        <f t="shared" si="12"/>
        <v>1</v>
      </c>
      <c r="P200">
        <f t="shared" si="13"/>
        <v>0</v>
      </c>
      <c r="Q200">
        <f t="shared" si="14"/>
        <v>0</v>
      </c>
      <c r="R200">
        <f t="shared" si="15"/>
        <v>0</v>
      </c>
    </row>
    <row r="201" spans="1:18">
      <c r="A201" s="3" t="s">
        <v>71</v>
      </c>
      <c r="B201" s="4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  <c r="O201">
        <f t="shared" si="12"/>
        <v>1</v>
      </c>
      <c r="P201">
        <f t="shared" si="13"/>
        <v>0</v>
      </c>
      <c r="Q201">
        <f t="shared" si="14"/>
        <v>0</v>
      </c>
      <c r="R201">
        <f t="shared" si="15"/>
        <v>0</v>
      </c>
    </row>
    <row r="202" spans="1:18">
      <c r="A202" s="3" t="s">
        <v>72</v>
      </c>
      <c r="B202" s="4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  <c r="O202">
        <f t="shared" si="12"/>
        <v>0</v>
      </c>
      <c r="P202">
        <f t="shared" si="13"/>
        <v>0</v>
      </c>
      <c r="Q202">
        <f t="shared" si="14"/>
        <v>0</v>
      </c>
      <c r="R202">
        <f t="shared" si="15"/>
        <v>0</v>
      </c>
    </row>
    <row r="203" spans="1:18">
      <c r="A203" s="3" t="s">
        <v>72</v>
      </c>
      <c r="B203" s="4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  <c r="O203">
        <f t="shared" si="12"/>
        <v>0</v>
      </c>
      <c r="P203">
        <f t="shared" si="13"/>
        <v>0</v>
      </c>
      <c r="Q203">
        <f t="shared" si="14"/>
        <v>0</v>
      </c>
      <c r="R203">
        <f t="shared" si="15"/>
        <v>0</v>
      </c>
    </row>
    <row r="204" spans="1:18">
      <c r="A204" s="3" t="s">
        <v>72</v>
      </c>
      <c r="B204" s="4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  <c r="O204">
        <f t="shared" si="12"/>
        <v>0</v>
      </c>
      <c r="P204">
        <f t="shared" si="13"/>
        <v>0</v>
      </c>
      <c r="Q204">
        <f t="shared" si="14"/>
        <v>0</v>
      </c>
      <c r="R204">
        <f t="shared" si="15"/>
        <v>0</v>
      </c>
    </row>
    <row r="205" spans="1:18">
      <c r="A205" s="3" t="s">
        <v>72</v>
      </c>
      <c r="B205" s="4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  <c r="O205">
        <f t="shared" si="12"/>
        <v>0</v>
      </c>
      <c r="P205">
        <f t="shared" si="13"/>
        <v>0</v>
      </c>
      <c r="Q205">
        <f t="shared" si="14"/>
        <v>0</v>
      </c>
      <c r="R205">
        <f t="shared" si="15"/>
        <v>0</v>
      </c>
    </row>
    <row r="206" spans="1:18">
      <c r="A206" s="3" t="s">
        <v>73</v>
      </c>
      <c r="B206" s="4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  <c r="O206">
        <f t="shared" si="12"/>
        <v>0</v>
      </c>
      <c r="P206">
        <f t="shared" si="13"/>
        <v>0</v>
      </c>
      <c r="Q206">
        <f t="shared" si="14"/>
        <v>1</v>
      </c>
      <c r="R206">
        <f t="shared" si="15"/>
        <v>0</v>
      </c>
    </row>
    <row r="207" spans="1:18">
      <c r="A207" s="3" t="s">
        <v>73</v>
      </c>
      <c r="B207" s="4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  <c r="O207">
        <f t="shared" si="12"/>
        <v>0</v>
      </c>
      <c r="P207">
        <f t="shared" si="13"/>
        <v>0</v>
      </c>
      <c r="Q207">
        <f t="shared" si="14"/>
        <v>1</v>
      </c>
      <c r="R207">
        <f t="shared" si="15"/>
        <v>0</v>
      </c>
    </row>
    <row r="208" spans="1:18">
      <c r="A208" s="3" t="s">
        <v>73</v>
      </c>
      <c r="B208" s="4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  <c r="O208">
        <f t="shared" si="12"/>
        <v>0</v>
      </c>
      <c r="P208">
        <f t="shared" si="13"/>
        <v>0</v>
      </c>
      <c r="Q208">
        <f t="shared" si="14"/>
        <v>1</v>
      </c>
      <c r="R208">
        <f t="shared" si="15"/>
        <v>0</v>
      </c>
    </row>
    <row r="209" spans="1:18">
      <c r="A209" s="3" t="s">
        <v>73</v>
      </c>
      <c r="B209" s="4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  <c r="O209">
        <f t="shared" si="12"/>
        <v>0</v>
      </c>
      <c r="P209">
        <f t="shared" si="13"/>
        <v>0</v>
      </c>
      <c r="Q209">
        <f t="shared" si="14"/>
        <v>1</v>
      </c>
      <c r="R209">
        <f t="shared" si="15"/>
        <v>0</v>
      </c>
    </row>
    <row r="210" spans="1:18">
      <c r="A210" s="3" t="s">
        <v>74</v>
      </c>
      <c r="B210" s="4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  <c r="O210">
        <f t="shared" si="12"/>
        <v>0</v>
      </c>
      <c r="P210">
        <f t="shared" si="13"/>
        <v>0</v>
      </c>
      <c r="Q210">
        <f t="shared" si="14"/>
        <v>0</v>
      </c>
      <c r="R210">
        <f t="shared" si="15"/>
        <v>0</v>
      </c>
    </row>
    <row r="211" spans="1:18">
      <c r="A211" s="3" t="s">
        <v>74</v>
      </c>
      <c r="B211" s="4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  <c r="O211">
        <f t="shared" si="12"/>
        <v>0</v>
      </c>
      <c r="P211">
        <f t="shared" si="13"/>
        <v>0</v>
      </c>
      <c r="Q211">
        <f t="shared" si="14"/>
        <v>0</v>
      </c>
      <c r="R211">
        <f t="shared" si="15"/>
        <v>0</v>
      </c>
    </row>
    <row r="212" spans="1:18">
      <c r="A212" s="3" t="s">
        <v>74</v>
      </c>
      <c r="B212" s="4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  <c r="O212">
        <f t="shared" si="12"/>
        <v>0</v>
      </c>
      <c r="P212">
        <f t="shared" si="13"/>
        <v>0</v>
      </c>
      <c r="Q212">
        <f t="shared" si="14"/>
        <v>0</v>
      </c>
      <c r="R212">
        <f t="shared" si="15"/>
        <v>0</v>
      </c>
    </row>
    <row r="213" spans="1:18">
      <c r="A213" s="3" t="s">
        <v>74</v>
      </c>
      <c r="B213" s="4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  <c r="O213">
        <f t="shared" si="12"/>
        <v>0</v>
      </c>
      <c r="P213">
        <f t="shared" si="13"/>
        <v>0</v>
      </c>
      <c r="Q213">
        <f t="shared" si="14"/>
        <v>0</v>
      </c>
      <c r="R213">
        <f t="shared" si="15"/>
        <v>0</v>
      </c>
    </row>
    <row r="214" spans="1:18">
      <c r="A214" s="3" t="s">
        <v>75</v>
      </c>
      <c r="B214" s="4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  <c r="O214">
        <f t="shared" si="12"/>
        <v>0</v>
      </c>
      <c r="P214">
        <f t="shared" si="13"/>
        <v>0</v>
      </c>
      <c r="Q214">
        <f t="shared" si="14"/>
        <v>0</v>
      </c>
      <c r="R214">
        <f t="shared" si="15"/>
        <v>0</v>
      </c>
    </row>
    <row r="215" spans="1:18">
      <c r="A215" s="3" t="s">
        <v>75</v>
      </c>
      <c r="B215" s="4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  <c r="O215">
        <f t="shared" si="12"/>
        <v>0</v>
      </c>
      <c r="P215">
        <f t="shared" si="13"/>
        <v>0</v>
      </c>
      <c r="Q215">
        <f t="shared" si="14"/>
        <v>0</v>
      </c>
      <c r="R215">
        <f t="shared" si="15"/>
        <v>0</v>
      </c>
    </row>
    <row r="216" spans="1:18">
      <c r="A216" s="3" t="s">
        <v>75</v>
      </c>
      <c r="B216" s="4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  <c r="O216">
        <f t="shared" si="12"/>
        <v>0</v>
      </c>
      <c r="P216">
        <f t="shared" si="13"/>
        <v>0</v>
      </c>
      <c r="Q216">
        <f t="shared" si="14"/>
        <v>0</v>
      </c>
      <c r="R216">
        <f t="shared" si="15"/>
        <v>0</v>
      </c>
    </row>
    <row r="217" spans="1:18">
      <c r="A217" s="3" t="s">
        <v>75</v>
      </c>
      <c r="B217" s="4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  <c r="O217">
        <f t="shared" si="12"/>
        <v>0</v>
      </c>
      <c r="P217">
        <f t="shared" si="13"/>
        <v>0</v>
      </c>
      <c r="Q217">
        <f t="shared" si="14"/>
        <v>0</v>
      </c>
      <c r="R217">
        <f t="shared" si="15"/>
        <v>0</v>
      </c>
    </row>
    <row r="218" spans="1:18">
      <c r="A218" s="3" t="s">
        <v>76</v>
      </c>
      <c r="B218" s="4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  <c r="O218">
        <f t="shared" si="12"/>
        <v>1</v>
      </c>
      <c r="P218">
        <f t="shared" si="13"/>
        <v>0</v>
      </c>
      <c r="Q218">
        <f t="shared" si="14"/>
        <v>0</v>
      </c>
      <c r="R218">
        <f t="shared" si="15"/>
        <v>0</v>
      </c>
    </row>
    <row r="219" spans="1:18">
      <c r="A219" s="3" t="s">
        <v>76</v>
      </c>
      <c r="B219" s="4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  <c r="O219">
        <f t="shared" si="12"/>
        <v>1</v>
      </c>
      <c r="P219">
        <f t="shared" si="13"/>
        <v>0</v>
      </c>
      <c r="Q219">
        <f t="shared" si="14"/>
        <v>0</v>
      </c>
      <c r="R219">
        <f t="shared" si="15"/>
        <v>0</v>
      </c>
    </row>
    <row r="220" spans="1:18">
      <c r="A220" s="3" t="s">
        <v>76</v>
      </c>
      <c r="B220" s="4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  <c r="O220">
        <f t="shared" si="12"/>
        <v>1</v>
      </c>
      <c r="P220">
        <f t="shared" si="13"/>
        <v>0</v>
      </c>
      <c r="Q220">
        <f t="shared" si="14"/>
        <v>0</v>
      </c>
      <c r="R220">
        <f t="shared" si="15"/>
        <v>0</v>
      </c>
    </row>
    <row r="221" spans="1:18">
      <c r="A221" s="3" t="s">
        <v>76</v>
      </c>
      <c r="B221" s="4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  <c r="O221">
        <f t="shared" si="12"/>
        <v>1</v>
      </c>
      <c r="P221">
        <f t="shared" si="13"/>
        <v>0</v>
      </c>
      <c r="Q221">
        <f t="shared" si="14"/>
        <v>0</v>
      </c>
      <c r="R221">
        <f t="shared" si="15"/>
        <v>0</v>
      </c>
    </row>
    <row r="222" spans="1:18">
      <c r="A222" s="3" t="s">
        <v>77</v>
      </c>
      <c r="B222" s="4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  <c r="O222">
        <f t="shared" si="12"/>
        <v>0</v>
      </c>
      <c r="P222">
        <f t="shared" si="13"/>
        <v>0</v>
      </c>
      <c r="Q222">
        <f t="shared" si="14"/>
        <v>0</v>
      </c>
      <c r="R222">
        <f t="shared" si="15"/>
        <v>0</v>
      </c>
    </row>
    <row r="223" spans="1:18">
      <c r="A223" s="3" t="s">
        <v>77</v>
      </c>
      <c r="B223" s="4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  <c r="O223">
        <f t="shared" si="12"/>
        <v>0</v>
      </c>
      <c r="P223">
        <f t="shared" si="13"/>
        <v>0</v>
      </c>
      <c r="Q223">
        <f t="shared" si="14"/>
        <v>0</v>
      </c>
      <c r="R223">
        <f t="shared" si="15"/>
        <v>0</v>
      </c>
    </row>
    <row r="224" spans="1:18">
      <c r="A224" s="3" t="s">
        <v>77</v>
      </c>
      <c r="B224" s="4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  <c r="O224">
        <f t="shared" si="12"/>
        <v>0</v>
      </c>
      <c r="P224">
        <f t="shared" si="13"/>
        <v>0</v>
      </c>
      <c r="Q224">
        <f t="shared" si="14"/>
        <v>0</v>
      </c>
      <c r="R224">
        <f t="shared" si="15"/>
        <v>0</v>
      </c>
    </row>
    <row r="225" spans="1:18">
      <c r="A225" s="3" t="s">
        <v>77</v>
      </c>
      <c r="B225" s="4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  <c r="O225">
        <f t="shared" si="12"/>
        <v>0</v>
      </c>
      <c r="P225">
        <f t="shared" si="13"/>
        <v>0</v>
      </c>
      <c r="Q225">
        <f t="shared" si="14"/>
        <v>0</v>
      </c>
      <c r="R225">
        <f t="shared" si="15"/>
        <v>0</v>
      </c>
    </row>
    <row r="226" spans="1:18">
      <c r="A226" s="3" t="s">
        <v>78</v>
      </c>
      <c r="B226" s="4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  <c r="O226">
        <f t="shared" si="12"/>
        <v>0</v>
      </c>
      <c r="P226">
        <f t="shared" si="13"/>
        <v>0</v>
      </c>
      <c r="Q226">
        <f t="shared" si="14"/>
        <v>1</v>
      </c>
      <c r="R226">
        <f t="shared" si="15"/>
        <v>0</v>
      </c>
    </row>
    <row r="227" spans="1:18">
      <c r="A227" s="3" t="s">
        <v>78</v>
      </c>
      <c r="B227" s="4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  <c r="O227">
        <f t="shared" si="12"/>
        <v>0</v>
      </c>
      <c r="P227">
        <f t="shared" si="13"/>
        <v>0</v>
      </c>
      <c r="Q227">
        <f t="shared" si="14"/>
        <v>1</v>
      </c>
      <c r="R227">
        <f t="shared" si="15"/>
        <v>0</v>
      </c>
    </row>
    <row r="228" spans="1:18">
      <c r="A228" s="3" t="s">
        <v>78</v>
      </c>
      <c r="B228" s="4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  <c r="O228">
        <f t="shared" si="12"/>
        <v>0</v>
      </c>
      <c r="P228">
        <f t="shared" si="13"/>
        <v>0</v>
      </c>
      <c r="Q228">
        <f t="shared" si="14"/>
        <v>1</v>
      </c>
      <c r="R228">
        <f t="shared" si="15"/>
        <v>0</v>
      </c>
    </row>
    <row r="229" spans="1:18">
      <c r="A229" s="3" t="s">
        <v>78</v>
      </c>
      <c r="B229" s="4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>
        <v>3.92</v>
      </c>
      <c r="M229" s="3">
        <v>529598.93999999994</v>
      </c>
      <c r="N229" s="3">
        <v>84334.33</v>
      </c>
      <c r="O229">
        <f t="shared" si="12"/>
        <v>0</v>
      </c>
      <c r="P229">
        <f t="shared" si="13"/>
        <v>0</v>
      </c>
      <c r="Q229">
        <f t="shared" si="14"/>
        <v>1</v>
      </c>
      <c r="R229">
        <f t="shared" si="15"/>
        <v>0</v>
      </c>
    </row>
    <row r="230" spans="1:18">
      <c r="A230" s="3" t="s">
        <v>79</v>
      </c>
      <c r="B230" s="4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  <c r="O230">
        <f t="shared" si="12"/>
        <v>0</v>
      </c>
      <c r="P230">
        <f t="shared" si="13"/>
        <v>0</v>
      </c>
      <c r="Q230">
        <f t="shared" si="14"/>
        <v>0</v>
      </c>
      <c r="R230">
        <f t="shared" si="15"/>
        <v>0</v>
      </c>
    </row>
    <row r="231" spans="1:18">
      <c r="A231" s="3" t="s">
        <v>79</v>
      </c>
      <c r="B231" s="4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  <c r="O231">
        <f t="shared" si="12"/>
        <v>0</v>
      </c>
      <c r="P231">
        <f t="shared" si="13"/>
        <v>0</v>
      </c>
      <c r="Q231">
        <f t="shared" si="14"/>
        <v>0</v>
      </c>
      <c r="R231">
        <f t="shared" si="15"/>
        <v>0</v>
      </c>
    </row>
    <row r="232" spans="1:18">
      <c r="A232" s="3" t="s">
        <v>79</v>
      </c>
      <c r="B232" s="4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  <c r="O232">
        <f t="shared" si="12"/>
        <v>0</v>
      </c>
      <c r="P232">
        <f t="shared" si="13"/>
        <v>0</v>
      </c>
      <c r="Q232">
        <f t="shared" si="14"/>
        <v>0</v>
      </c>
      <c r="R232">
        <f t="shared" si="15"/>
        <v>0</v>
      </c>
    </row>
    <row r="233" spans="1:18">
      <c r="A233" s="3" t="s">
        <v>79</v>
      </c>
      <c r="B233" s="4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>
        <v>4.5599999999999996</v>
      </c>
      <c r="K233" s="3">
        <v>0</v>
      </c>
      <c r="L233" s="3">
        <v>3.7</v>
      </c>
      <c r="M233" s="3">
        <v>647512.85</v>
      </c>
      <c r="N233" s="3">
        <v>153835.57</v>
      </c>
      <c r="O233">
        <f t="shared" si="12"/>
        <v>0</v>
      </c>
      <c r="P233">
        <f t="shared" si="13"/>
        <v>0</v>
      </c>
      <c r="Q233">
        <f t="shared" si="14"/>
        <v>0</v>
      </c>
      <c r="R233">
        <f t="shared" si="15"/>
        <v>0</v>
      </c>
    </row>
    <row r="234" spans="1:18">
      <c r="A234" s="3" t="s">
        <v>80</v>
      </c>
      <c r="B234" s="4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  <c r="O234">
        <f t="shared" si="12"/>
        <v>0</v>
      </c>
      <c r="P234">
        <f t="shared" si="13"/>
        <v>0</v>
      </c>
      <c r="Q234">
        <f t="shared" si="14"/>
        <v>0</v>
      </c>
      <c r="R234">
        <f t="shared" si="15"/>
        <v>0</v>
      </c>
    </row>
    <row r="235" spans="1:18">
      <c r="A235" s="3" t="s">
        <v>80</v>
      </c>
      <c r="B235" s="4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  <c r="O235">
        <f t="shared" si="12"/>
        <v>0</v>
      </c>
      <c r="P235">
        <f t="shared" si="13"/>
        <v>0</v>
      </c>
      <c r="Q235">
        <f t="shared" si="14"/>
        <v>0</v>
      </c>
      <c r="R235">
        <f t="shared" si="15"/>
        <v>0</v>
      </c>
    </row>
    <row r="236" spans="1:18">
      <c r="A236" s="3" t="s">
        <v>80</v>
      </c>
      <c r="B236" s="4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  <c r="O236">
        <f t="shared" si="12"/>
        <v>0</v>
      </c>
      <c r="P236">
        <f t="shared" si="13"/>
        <v>0</v>
      </c>
      <c r="Q236">
        <f t="shared" si="14"/>
        <v>0</v>
      </c>
      <c r="R236">
        <f t="shared" si="15"/>
        <v>0</v>
      </c>
    </row>
    <row r="237" spans="1:18">
      <c r="A237" s="3" t="s">
        <v>80</v>
      </c>
      <c r="B237" s="4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  <c r="O237">
        <f t="shared" si="12"/>
        <v>0</v>
      </c>
      <c r="P237">
        <f t="shared" si="13"/>
        <v>0</v>
      </c>
      <c r="Q237">
        <f t="shared" si="14"/>
        <v>0</v>
      </c>
      <c r="R237">
        <f t="shared" si="15"/>
        <v>0</v>
      </c>
    </row>
    <row r="238" spans="1:18">
      <c r="A238" s="3" t="s">
        <v>81</v>
      </c>
      <c r="B238" s="4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  <c r="O238">
        <f t="shared" si="12"/>
        <v>0</v>
      </c>
      <c r="P238">
        <f t="shared" si="13"/>
        <v>0</v>
      </c>
      <c r="Q238">
        <f t="shared" si="14"/>
        <v>1</v>
      </c>
      <c r="R238">
        <f t="shared" si="15"/>
        <v>0</v>
      </c>
    </row>
    <row r="239" spans="1:18">
      <c r="A239" s="3" t="s">
        <v>81</v>
      </c>
      <c r="B239" s="4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  <c r="O239">
        <f t="shared" si="12"/>
        <v>0</v>
      </c>
      <c r="P239">
        <f t="shared" si="13"/>
        <v>0</v>
      </c>
      <c r="Q239">
        <f t="shared" si="14"/>
        <v>1</v>
      </c>
      <c r="R239">
        <f t="shared" si="15"/>
        <v>0</v>
      </c>
    </row>
    <row r="240" spans="1:18">
      <c r="A240" s="3" t="s">
        <v>81</v>
      </c>
      <c r="B240" s="4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  <c r="O240">
        <f t="shared" si="12"/>
        <v>0</v>
      </c>
      <c r="P240">
        <f t="shared" si="13"/>
        <v>0</v>
      </c>
      <c r="Q240">
        <f t="shared" si="14"/>
        <v>1</v>
      </c>
      <c r="R240">
        <f t="shared" si="15"/>
        <v>0</v>
      </c>
    </row>
    <row r="241" spans="1:18">
      <c r="A241" s="3" t="s">
        <v>81</v>
      </c>
      <c r="B241" s="4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  <c r="O241">
        <f t="shared" si="12"/>
        <v>0</v>
      </c>
      <c r="P241">
        <f t="shared" si="13"/>
        <v>0</v>
      </c>
      <c r="Q241">
        <f t="shared" si="14"/>
        <v>1</v>
      </c>
      <c r="R241">
        <f t="shared" si="15"/>
        <v>0</v>
      </c>
    </row>
    <row r="242" spans="1:18">
      <c r="A242" s="3" t="s">
        <v>82</v>
      </c>
      <c r="B242" s="4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  <c r="O242">
        <f t="shared" si="12"/>
        <v>0</v>
      </c>
      <c r="P242">
        <f t="shared" si="13"/>
        <v>1</v>
      </c>
      <c r="Q242">
        <f t="shared" si="14"/>
        <v>0</v>
      </c>
      <c r="R242">
        <f t="shared" si="15"/>
        <v>0</v>
      </c>
    </row>
    <row r="243" spans="1:18">
      <c r="A243" s="3" t="s">
        <v>82</v>
      </c>
      <c r="B243" s="4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  <c r="O243">
        <f t="shared" si="12"/>
        <v>0</v>
      </c>
      <c r="P243">
        <f t="shared" si="13"/>
        <v>1</v>
      </c>
      <c r="Q243">
        <f t="shared" si="14"/>
        <v>0</v>
      </c>
      <c r="R243">
        <f t="shared" si="15"/>
        <v>0</v>
      </c>
    </row>
    <row r="244" spans="1:18">
      <c r="A244" s="3" t="s">
        <v>82</v>
      </c>
      <c r="B244" s="4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  <c r="O244">
        <f t="shared" si="12"/>
        <v>0</v>
      </c>
      <c r="P244">
        <f t="shared" si="13"/>
        <v>1</v>
      </c>
      <c r="Q244">
        <f t="shared" si="14"/>
        <v>0</v>
      </c>
      <c r="R244">
        <f t="shared" si="15"/>
        <v>0</v>
      </c>
    </row>
    <row r="245" spans="1:18">
      <c r="A245" s="3" t="s">
        <v>82</v>
      </c>
      <c r="B245" s="4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  <c r="O245">
        <f t="shared" si="12"/>
        <v>0</v>
      </c>
      <c r="P245">
        <f t="shared" si="13"/>
        <v>1</v>
      </c>
      <c r="Q245">
        <f t="shared" si="14"/>
        <v>0</v>
      </c>
      <c r="R245">
        <f t="shared" si="15"/>
        <v>0</v>
      </c>
    </row>
    <row r="246" spans="1:18">
      <c r="A246" s="3" t="s">
        <v>83</v>
      </c>
      <c r="B246" s="4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  <c r="O246">
        <f t="shared" si="12"/>
        <v>0</v>
      </c>
      <c r="P246">
        <f t="shared" si="13"/>
        <v>0</v>
      </c>
      <c r="Q246">
        <f t="shared" si="14"/>
        <v>0</v>
      </c>
      <c r="R246">
        <f t="shared" si="15"/>
        <v>0</v>
      </c>
    </row>
    <row r="247" spans="1:18">
      <c r="A247" s="3" t="s">
        <v>83</v>
      </c>
      <c r="B247" s="4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  <c r="O247">
        <f t="shared" si="12"/>
        <v>0</v>
      </c>
      <c r="P247">
        <f t="shared" si="13"/>
        <v>0</v>
      </c>
      <c r="Q247">
        <f t="shared" si="14"/>
        <v>0</v>
      </c>
      <c r="R247">
        <f t="shared" si="15"/>
        <v>0</v>
      </c>
    </row>
    <row r="248" spans="1:18">
      <c r="A248" s="3" t="s">
        <v>83</v>
      </c>
      <c r="B248" s="4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  <c r="O248">
        <f t="shared" si="12"/>
        <v>0</v>
      </c>
      <c r="P248">
        <f t="shared" si="13"/>
        <v>0</v>
      </c>
      <c r="Q248">
        <f t="shared" si="14"/>
        <v>0</v>
      </c>
      <c r="R248">
        <f t="shared" si="15"/>
        <v>0</v>
      </c>
    </row>
    <row r="249" spans="1:18">
      <c r="A249" s="3" t="s">
        <v>83</v>
      </c>
      <c r="B249" s="4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  <c r="O249">
        <f t="shared" si="12"/>
        <v>0</v>
      </c>
      <c r="P249">
        <f t="shared" si="13"/>
        <v>0</v>
      </c>
      <c r="Q249">
        <f t="shared" si="14"/>
        <v>0</v>
      </c>
      <c r="R249">
        <f t="shared" si="15"/>
        <v>0</v>
      </c>
    </row>
    <row r="250" spans="1:18">
      <c r="A250" s="3" t="s">
        <v>84</v>
      </c>
      <c r="B250" s="4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>
        <v>4.5599999999999996</v>
      </c>
      <c r="K250" s="3">
        <v>0</v>
      </c>
      <c r="L250" s="3">
        <v>3.8</v>
      </c>
      <c r="M250" s="3">
        <v>606783.67000000004</v>
      </c>
      <c r="N250" s="3">
        <v>74515.87</v>
      </c>
      <c r="O250">
        <f t="shared" si="12"/>
        <v>1</v>
      </c>
      <c r="P250">
        <f t="shared" si="13"/>
        <v>0</v>
      </c>
      <c r="Q250">
        <f t="shared" si="14"/>
        <v>0</v>
      </c>
      <c r="R250">
        <f t="shared" si="15"/>
        <v>0</v>
      </c>
    </row>
    <row r="251" spans="1:18">
      <c r="A251" s="3" t="s">
        <v>84</v>
      </c>
      <c r="B251" s="4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  <c r="O251">
        <f t="shared" si="12"/>
        <v>1</v>
      </c>
      <c r="P251">
        <f t="shared" si="13"/>
        <v>0</v>
      </c>
      <c r="Q251">
        <f t="shared" si="14"/>
        <v>0</v>
      </c>
      <c r="R251">
        <f t="shared" si="15"/>
        <v>0</v>
      </c>
    </row>
    <row r="252" spans="1:18">
      <c r="A252" s="3" t="s">
        <v>84</v>
      </c>
      <c r="B252" s="4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  <c r="O252">
        <f t="shared" si="12"/>
        <v>1</v>
      </c>
      <c r="P252">
        <f t="shared" si="13"/>
        <v>0</v>
      </c>
      <c r="Q252">
        <f t="shared" si="14"/>
        <v>0</v>
      </c>
      <c r="R252">
        <f t="shared" si="15"/>
        <v>0</v>
      </c>
    </row>
    <row r="253" spans="1:18">
      <c r="A253" s="3" t="s">
        <v>84</v>
      </c>
      <c r="B253" s="4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  <c r="O253">
        <f t="shared" si="12"/>
        <v>1</v>
      </c>
      <c r="P253">
        <f t="shared" si="13"/>
        <v>0</v>
      </c>
      <c r="Q253">
        <f t="shared" si="14"/>
        <v>0</v>
      </c>
      <c r="R253">
        <f t="shared" si="15"/>
        <v>0</v>
      </c>
    </row>
    <row r="254" spans="1:18">
      <c r="A254" s="3" t="s">
        <v>85</v>
      </c>
      <c r="B254" s="4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  <c r="O254">
        <f t="shared" si="12"/>
        <v>0</v>
      </c>
      <c r="P254">
        <f t="shared" si="13"/>
        <v>1</v>
      </c>
      <c r="Q254">
        <f t="shared" si="14"/>
        <v>0</v>
      </c>
      <c r="R254">
        <f t="shared" si="15"/>
        <v>0</v>
      </c>
    </row>
    <row r="255" spans="1:18">
      <c r="A255" s="3" t="s">
        <v>85</v>
      </c>
      <c r="B255" s="4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  <c r="O255">
        <f t="shared" si="12"/>
        <v>0</v>
      </c>
      <c r="P255">
        <f t="shared" si="13"/>
        <v>1</v>
      </c>
      <c r="Q255">
        <f t="shared" si="14"/>
        <v>0</v>
      </c>
      <c r="R255">
        <f t="shared" si="15"/>
        <v>0</v>
      </c>
    </row>
    <row r="256" spans="1:18">
      <c r="A256" s="3" t="s">
        <v>85</v>
      </c>
      <c r="B256" s="4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  <c r="O256">
        <f t="shared" si="12"/>
        <v>0</v>
      </c>
      <c r="P256">
        <f t="shared" si="13"/>
        <v>1</v>
      </c>
      <c r="Q256">
        <f t="shared" si="14"/>
        <v>0</v>
      </c>
      <c r="R256">
        <f t="shared" si="15"/>
        <v>0</v>
      </c>
    </row>
    <row r="257" spans="1:18">
      <c r="A257" s="3" t="s">
        <v>85</v>
      </c>
      <c r="B257" s="4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  <c r="O257">
        <f t="shared" si="12"/>
        <v>0</v>
      </c>
      <c r="P257">
        <f t="shared" si="13"/>
        <v>1</v>
      </c>
      <c r="Q257">
        <f t="shared" si="14"/>
        <v>0</v>
      </c>
      <c r="R257">
        <f t="shared" si="15"/>
        <v>0</v>
      </c>
    </row>
    <row r="258" spans="1:18">
      <c r="A258" s="3" t="s">
        <v>86</v>
      </c>
      <c r="B258" s="4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  <c r="O258">
        <f t="shared" ref="O258:O321" si="16">IF(C258="North",1,0)</f>
        <v>0</v>
      </c>
      <c r="P258">
        <f t="shared" ref="P258:P321" si="17">IF(C258="South",1,0)</f>
        <v>1</v>
      </c>
      <c r="Q258">
        <f t="shared" ref="Q258:Q321" si="18">IF(D258="Mall",1,0)</f>
        <v>1</v>
      </c>
      <c r="R258">
        <f t="shared" ref="R258:R321" si="19">IF(D258="Standalone",1,0)</f>
        <v>0</v>
      </c>
    </row>
    <row r="259" spans="1:18">
      <c r="A259" s="3" t="s">
        <v>86</v>
      </c>
      <c r="B259" s="4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  <c r="O259">
        <f t="shared" si="16"/>
        <v>0</v>
      </c>
      <c r="P259">
        <f t="shared" si="17"/>
        <v>1</v>
      </c>
      <c r="Q259">
        <f t="shared" si="18"/>
        <v>1</v>
      </c>
      <c r="R259">
        <f t="shared" si="19"/>
        <v>0</v>
      </c>
    </row>
    <row r="260" spans="1:18">
      <c r="A260" s="3" t="s">
        <v>86</v>
      </c>
      <c r="B260" s="4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  <c r="O260">
        <f t="shared" si="16"/>
        <v>0</v>
      </c>
      <c r="P260">
        <f t="shared" si="17"/>
        <v>1</v>
      </c>
      <c r="Q260">
        <f t="shared" si="18"/>
        <v>1</v>
      </c>
      <c r="R260">
        <f t="shared" si="19"/>
        <v>0</v>
      </c>
    </row>
    <row r="261" spans="1:18">
      <c r="A261" s="3" t="s">
        <v>86</v>
      </c>
      <c r="B261" s="4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  <c r="O261">
        <f t="shared" si="16"/>
        <v>0</v>
      </c>
      <c r="P261">
        <f t="shared" si="17"/>
        <v>1</v>
      </c>
      <c r="Q261">
        <f t="shared" si="18"/>
        <v>1</v>
      </c>
      <c r="R261">
        <f t="shared" si="19"/>
        <v>0</v>
      </c>
    </row>
    <row r="262" spans="1:18">
      <c r="A262" s="3" t="s">
        <v>87</v>
      </c>
      <c r="B262" s="4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  <c r="O262">
        <f t="shared" si="16"/>
        <v>0</v>
      </c>
      <c r="P262">
        <f t="shared" si="17"/>
        <v>0</v>
      </c>
      <c r="Q262">
        <f t="shared" si="18"/>
        <v>0</v>
      </c>
      <c r="R262">
        <f t="shared" si="19"/>
        <v>0</v>
      </c>
    </row>
    <row r="263" spans="1:18">
      <c r="A263" s="3" t="s">
        <v>87</v>
      </c>
      <c r="B263" s="4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>
        <v>4.5599999999999996</v>
      </c>
      <c r="K263" s="3">
        <v>0</v>
      </c>
      <c r="L263" s="3">
        <v>4.2</v>
      </c>
      <c r="M263" s="3">
        <v>605751.32999999996</v>
      </c>
      <c r="N263" s="3">
        <v>60685.53</v>
      </c>
      <c r="O263">
        <f t="shared" si="16"/>
        <v>0</v>
      </c>
      <c r="P263">
        <f t="shared" si="17"/>
        <v>0</v>
      </c>
      <c r="Q263">
        <f t="shared" si="18"/>
        <v>0</v>
      </c>
      <c r="R263">
        <f t="shared" si="19"/>
        <v>0</v>
      </c>
    </row>
    <row r="264" spans="1:18">
      <c r="A264" s="3" t="s">
        <v>87</v>
      </c>
      <c r="B264" s="4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  <c r="O264">
        <f t="shared" si="16"/>
        <v>0</v>
      </c>
      <c r="P264">
        <f t="shared" si="17"/>
        <v>0</v>
      </c>
      <c r="Q264">
        <f t="shared" si="18"/>
        <v>0</v>
      </c>
      <c r="R264">
        <f t="shared" si="19"/>
        <v>0</v>
      </c>
    </row>
    <row r="265" spans="1:18">
      <c r="A265" s="3" t="s">
        <v>87</v>
      </c>
      <c r="B265" s="4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  <c r="O265">
        <f t="shared" si="16"/>
        <v>0</v>
      </c>
      <c r="P265">
        <f t="shared" si="17"/>
        <v>0</v>
      </c>
      <c r="Q265">
        <f t="shared" si="18"/>
        <v>0</v>
      </c>
      <c r="R265">
        <f t="shared" si="19"/>
        <v>0</v>
      </c>
    </row>
    <row r="266" spans="1:18">
      <c r="A266" s="3" t="s">
        <v>88</v>
      </c>
      <c r="B266" s="4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  <c r="O266">
        <f t="shared" si="16"/>
        <v>0</v>
      </c>
      <c r="P266">
        <f t="shared" si="17"/>
        <v>0</v>
      </c>
      <c r="Q266">
        <f t="shared" si="18"/>
        <v>0</v>
      </c>
      <c r="R266">
        <f t="shared" si="19"/>
        <v>0</v>
      </c>
    </row>
    <row r="267" spans="1:18">
      <c r="A267" s="3" t="s">
        <v>88</v>
      </c>
      <c r="B267" s="4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  <c r="O267">
        <f t="shared" si="16"/>
        <v>0</v>
      </c>
      <c r="P267">
        <f t="shared" si="17"/>
        <v>0</v>
      </c>
      <c r="Q267">
        <f t="shared" si="18"/>
        <v>0</v>
      </c>
      <c r="R267">
        <f t="shared" si="19"/>
        <v>0</v>
      </c>
    </row>
    <row r="268" spans="1:18">
      <c r="A268" s="3" t="s">
        <v>88</v>
      </c>
      <c r="B268" s="4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  <c r="O268">
        <f t="shared" si="16"/>
        <v>0</v>
      </c>
      <c r="P268">
        <f t="shared" si="17"/>
        <v>0</v>
      </c>
      <c r="Q268">
        <f t="shared" si="18"/>
        <v>0</v>
      </c>
      <c r="R268">
        <f t="shared" si="19"/>
        <v>0</v>
      </c>
    </row>
    <row r="269" spans="1:18">
      <c r="A269" s="3" t="s">
        <v>88</v>
      </c>
      <c r="B269" s="4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  <c r="O269">
        <f t="shared" si="16"/>
        <v>0</v>
      </c>
      <c r="P269">
        <f t="shared" si="17"/>
        <v>0</v>
      </c>
      <c r="Q269">
        <f t="shared" si="18"/>
        <v>0</v>
      </c>
      <c r="R269">
        <f t="shared" si="19"/>
        <v>0</v>
      </c>
    </row>
    <row r="270" spans="1:18">
      <c r="A270" s="3" t="s">
        <v>89</v>
      </c>
      <c r="B270" s="4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  <c r="O270">
        <f t="shared" si="16"/>
        <v>0</v>
      </c>
      <c r="P270">
        <f t="shared" si="17"/>
        <v>0</v>
      </c>
      <c r="Q270">
        <f t="shared" si="18"/>
        <v>1</v>
      </c>
      <c r="R270">
        <f t="shared" si="19"/>
        <v>0</v>
      </c>
    </row>
    <row r="271" spans="1:18">
      <c r="A271" s="3" t="s">
        <v>89</v>
      </c>
      <c r="B271" s="4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  <c r="O271">
        <f t="shared" si="16"/>
        <v>0</v>
      </c>
      <c r="P271">
        <f t="shared" si="17"/>
        <v>0</v>
      </c>
      <c r="Q271">
        <f t="shared" si="18"/>
        <v>1</v>
      </c>
      <c r="R271">
        <f t="shared" si="19"/>
        <v>0</v>
      </c>
    </row>
    <row r="272" spans="1:18">
      <c r="A272" s="3" t="s">
        <v>89</v>
      </c>
      <c r="B272" s="4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  <c r="O272">
        <f t="shared" si="16"/>
        <v>0</v>
      </c>
      <c r="P272">
        <f t="shared" si="17"/>
        <v>0</v>
      </c>
      <c r="Q272">
        <f t="shared" si="18"/>
        <v>1</v>
      </c>
      <c r="R272">
        <f t="shared" si="19"/>
        <v>0</v>
      </c>
    </row>
    <row r="273" spans="1:18">
      <c r="A273" s="3" t="s">
        <v>89</v>
      </c>
      <c r="B273" s="4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  <c r="O273">
        <f t="shared" si="16"/>
        <v>0</v>
      </c>
      <c r="P273">
        <f t="shared" si="17"/>
        <v>0</v>
      </c>
      <c r="Q273">
        <f t="shared" si="18"/>
        <v>1</v>
      </c>
      <c r="R273">
        <f t="shared" si="19"/>
        <v>0</v>
      </c>
    </row>
    <row r="274" spans="1:18">
      <c r="A274" s="3" t="s">
        <v>90</v>
      </c>
      <c r="B274" s="4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  <c r="O274">
        <f t="shared" si="16"/>
        <v>0</v>
      </c>
      <c r="P274">
        <f t="shared" si="17"/>
        <v>0</v>
      </c>
      <c r="Q274">
        <f t="shared" si="18"/>
        <v>0</v>
      </c>
      <c r="R274">
        <f t="shared" si="19"/>
        <v>0</v>
      </c>
    </row>
    <row r="275" spans="1:18">
      <c r="A275" s="3" t="s">
        <v>90</v>
      </c>
      <c r="B275" s="4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  <c r="O275">
        <f t="shared" si="16"/>
        <v>0</v>
      </c>
      <c r="P275">
        <f t="shared" si="17"/>
        <v>0</v>
      </c>
      <c r="Q275">
        <f t="shared" si="18"/>
        <v>0</v>
      </c>
      <c r="R275">
        <f t="shared" si="19"/>
        <v>0</v>
      </c>
    </row>
    <row r="276" spans="1:18">
      <c r="A276" s="3" t="s">
        <v>90</v>
      </c>
      <c r="B276" s="4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  <c r="O276">
        <f t="shared" si="16"/>
        <v>0</v>
      </c>
      <c r="P276">
        <f t="shared" si="17"/>
        <v>0</v>
      </c>
      <c r="Q276">
        <f t="shared" si="18"/>
        <v>0</v>
      </c>
      <c r="R276">
        <f t="shared" si="19"/>
        <v>0</v>
      </c>
    </row>
    <row r="277" spans="1:18">
      <c r="A277" s="3" t="s">
        <v>90</v>
      </c>
      <c r="B277" s="4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  <c r="O277">
        <f t="shared" si="16"/>
        <v>0</v>
      </c>
      <c r="P277">
        <f t="shared" si="17"/>
        <v>0</v>
      </c>
      <c r="Q277">
        <f t="shared" si="18"/>
        <v>0</v>
      </c>
      <c r="R277">
        <f t="shared" si="19"/>
        <v>0</v>
      </c>
    </row>
    <row r="278" spans="1:18">
      <c r="A278" s="3" t="s">
        <v>91</v>
      </c>
      <c r="B278" s="4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  <c r="O278">
        <f t="shared" si="16"/>
        <v>0</v>
      </c>
      <c r="P278">
        <f t="shared" si="17"/>
        <v>1</v>
      </c>
      <c r="Q278">
        <f t="shared" si="18"/>
        <v>0</v>
      </c>
      <c r="R278">
        <f t="shared" si="19"/>
        <v>0</v>
      </c>
    </row>
    <row r="279" spans="1:18">
      <c r="A279" s="3" t="s">
        <v>91</v>
      </c>
      <c r="B279" s="4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  <c r="O279">
        <f t="shared" si="16"/>
        <v>0</v>
      </c>
      <c r="P279">
        <f t="shared" si="17"/>
        <v>1</v>
      </c>
      <c r="Q279">
        <f t="shared" si="18"/>
        <v>0</v>
      </c>
      <c r="R279">
        <f t="shared" si="19"/>
        <v>0</v>
      </c>
    </row>
    <row r="280" spans="1:18">
      <c r="A280" s="3" t="s">
        <v>91</v>
      </c>
      <c r="B280" s="4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  <c r="O280">
        <f t="shared" si="16"/>
        <v>0</v>
      </c>
      <c r="P280">
        <f t="shared" si="17"/>
        <v>1</v>
      </c>
      <c r="Q280">
        <f t="shared" si="18"/>
        <v>0</v>
      </c>
      <c r="R280">
        <f t="shared" si="19"/>
        <v>0</v>
      </c>
    </row>
    <row r="281" spans="1:18">
      <c r="A281" s="3" t="s">
        <v>91</v>
      </c>
      <c r="B281" s="4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  <c r="O281">
        <f t="shared" si="16"/>
        <v>0</v>
      </c>
      <c r="P281">
        <f t="shared" si="17"/>
        <v>1</v>
      </c>
      <c r="Q281">
        <f t="shared" si="18"/>
        <v>0</v>
      </c>
      <c r="R281">
        <f t="shared" si="19"/>
        <v>0</v>
      </c>
    </row>
    <row r="282" spans="1:18">
      <c r="A282" s="3" t="s">
        <v>92</v>
      </c>
      <c r="B282" s="4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  <c r="O282">
        <f t="shared" si="16"/>
        <v>0</v>
      </c>
      <c r="P282">
        <f t="shared" si="17"/>
        <v>1</v>
      </c>
      <c r="Q282">
        <f t="shared" si="18"/>
        <v>0</v>
      </c>
      <c r="R282">
        <f t="shared" si="19"/>
        <v>0</v>
      </c>
    </row>
    <row r="283" spans="1:18">
      <c r="A283" s="3" t="s">
        <v>92</v>
      </c>
      <c r="B283" s="4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  <c r="O283">
        <f t="shared" si="16"/>
        <v>0</v>
      </c>
      <c r="P283">
        <f t="shared" si="17"/>
        <v>1</v>
      </c>
      <c r="Q283">
        <f t="shared" si="18"/>
        <v>0</v>
      </c>
      <c r="R283">
        <f t="shared" si="19"/>
        <v>0</v>
      </c>
    </row>
    <row r="284" spans="1:18">
      <c r="A284" s="3" t="s">
        <v>92</v>
      </c>
      <c r="B284" s="4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  <c r="O284">
        <f t="shared" si="16"/>
        <v>0</v>
      </c>
      <c r="P284">
        <f t="shared" si="17"/>
        <v>1</v>
      </c>
      <c r="Q284">
        <f t="shared" si="18"/>
        <v>0</v>
      </c>
      <c r="R284">
        <f t="shared" si="19"/>
        <v>0</v>
      </c>
    </row>
    <row r="285" spans="1:18">
      <c r="A285" s="3" t="s">
        <v>92</v>
      </c>
      <c r="B285" s="4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  <c r="O285">
        <f t="shared" si="16"/>
        <v>0</v>
      </c>
      <c r="P285">
        <f t="shared" si="17"/>
        <v>1</v>
      </c>
      <c r="Q285">
        <f t="shared" si="18"/>
        <v>0</v>
      </c>
      <c r="R285">
        <f t="shared" si="19"/>
        <v>0</v>
      </c>
    </row>
    <row r="286" spans="1:18">
      <c r="A286" s="3" t="s">
        <v>93</v>
      </c>
      <c r="B286" s="4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  <c r="O286">
        <f t="shared" si="16"/>
        <v>0</v>
      </c>
      <c r="P286">
        <f t="shared" si="17"/>
        <v>0</v>
      </c>
      <c r="Q286">
        <f t="shared" si="18"/>
        <v>0</v>
      </c>
      <c r="R286">
        <f t="shared" si="19"/>
        <v>0</v>
      </c>
    </row>
    <row r="287" spans="1:18">
      <c r="A287" s="3" t="s">
        <v>93</v>
      </c>
      <c r="B287" s="4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  <c r="O287">
        <f t="shared" si="16"/>
        <v>0</v>
      </c>
      <c r="P287">
        <f t="shared" si="17"/>
        <v>0</v>
      </c>
      <c r="Q287">
        <f t="shared" si="18"/>
        <v>0</v>
      </c>
      <c r="R287">
        <f t="shared" si="19"/>
        <v>0</v>
      </c>
    </row>
    <row r="288" spans="1:18">
      <c r="A288" s="3" t="s">
        <v>93</v>
      </c>
      <c r="B288" s="4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  <c r="O288">
        <f t="shared" si="16"/>
        <v>0</v>
      </c>
      <c r="P288">
        <f t="shared" si="17"/>
        <v>0</v>
      </c>
      <c r="Q288">
        <f t="shared" si="18"/>
        <v>0</v>
      </c>
      <c r="R288">
        <f t="shared" si="19"/>
        <v>0</v>
      </c>
    </row>
    <row r="289" spans="1:18">
      <c r="A289" s="3" t="s">
        <v>93</v>
      </c>
      <c r="B289" s="4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  <c r="O289">
        <f t="shared" si="16"/>
        <v>0</v>
      </c>
      <c r="P289">
        <f t="shared" si="17"/>
        <v>0</v>
      </c>
      <c r="Q289">
        <f t="shared" si="18"/>
        <v>0</v>
      </c>
      <c r="R289">
        <f t="shared" si="19"/>
        <v>0</v>
      </c>
    </row>
    <row r="290" spans="1:18">
      <c r="A290" s="3" t="s">
        <v>94</v>
      </c>
      <c r="B290" s="4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  <c r="O290">
        <f t="shared" si="16"/>
        <v>0</v>
      </c>
      <c r="P290">
        <f t="shared" si="17"/>
        <v>0</v>
      </c>
      <c r="Q290">
        <f t="shared" si="18"/>
        <v>0</v>
      </c>
      <c r="R290">
        <f t="shared" si="19"/>
        <v>0</v>
      </c>
    </row>
    <row r="291" spans="1:18">
      <c r="A291" s="3" t="s">
        <v>94</v>
      </c>
      <c r="B291" s="4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  <c r="O291">
        <f t="shared" si="16"/>
        <v>0</v>
      </c>
      <c r="P291">
        <f t="shared" si="17"/>
        <v>0</v>
      </c>
      <c r="Q291">
        <f t="shared" si="18"/>
        <v>0</v>
      </c>
      <c r="R291">
        <f t="shared" si="19"/>
        <v>0</v>
      </c>
    </row>
    <row r="292" spans="1:18">
      <c r="A292" s="3" t="s">
        <v>94</v>
      </c>
      <c r="B292" s="4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  <c r="O292">
        <f t="shared" si="16"/>
        <v>0</v>
      </c>
      <c r="P292">
        <f t="shared" si="17"/>
        <v>0</v>
      </c>
      <c r="Q292">
        <f t="shared" si="18"/>
        <v>0</v>
      </c>
      <c r="R292">
        <f t="shared" si="19"/>
        <v>0</v>
      </c>
    </row>
    <row r="293" spans="1:18">
      <c r="A293" s="3" t="s">
        <v>94</v>
      </c>
      <c r="B293" s="4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  <c r="O293">
        <f t="shared" si="16"/>
        <v>0</v>
      </c>
      <c r="P293">
        <f t="shared" si="17"/>
        <v>0</v>
      </c>
      <c r="Q293">
        <f t="shared" si="18"/>
        <v>0</v>
      </c>
      <c r="R293">
        <f t="shared" si="19"/>
        <v>0</v>
      </c>
    </row>
    <row r="294" spans="1:18">
      <c r="A294" s="3" t="s">
        <v>95</v>
      </c>
      <c r="B294" s="4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  <c r="O294">
        <f t="shared" si="16"/>
        <v>0</v>
      </c>
      <c r="P294">
        <f t="shared" si="17"/>
        <v>0</v>
      </c>
      <c r="Q294">
        <f t="shared" si="18"/>
        <v>0</v>
      </c>
      <c r="R294">
        <f t="shared" si="19"/>
        <v>0</v>
      </c>
    </row>
    <row r="295" spans="1:18">
      <c r="A295" s="3" t="s">
        <v>95</v>
      </c>
      <c r="B295" s="4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  <c r="O295">
        <f t="shared" si="16"/>
        <v>0</v>
      </c>
      <c r="P295">
        <f t="shared" si="17"/>
        <v>0</v>
      </c>
      <c r="Q295">
        <f t="shared" si="18"/>
        <v>0</v>
      </c>
      <c r="R295">
        <f t="shared" si="19"/>
        <v>0</v>
      </c>
    </row>
    <row r="296" spans="1:18">
      <c r="A296" s="3" t="s">
        <v>95</v>
      </c>
      <c r="B296" s="4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  <c r="O296">
        <f t="shared" si="16"/>
        <v>0</v>
      </c>
      <c r="P296">
        <f t="shared" si="17"/>
        <v>0</v>
      </c>
      <c r="Q296">
        <f t="shared" si="18"/>
        <v>0</v>
      </c>
      <c r="R296">
        <f t="shared" si="19"/>
        <v>0</v>
      </c>
    </row>
    <row r="297" spans="1:18">
      <c r="A297" s="3" t="s">
        <v>95</v>
      </c>
      <c r="B297" s="4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  <c r="O297">
        <f t="shared" si="16"/>
        <v>0</v>
      </c>
      <c r="P297">
        <f t="shared" si="17"/>
        <v>0</v>
      </c>
      <c r="Q297">
        <f t="shared" si="18"/>
        <v>0</v>
      </c>
      <c r="R297">
        <f t="shared" si="19"/>
        <v>0</v>
      </c>
    </row>
    <row r="298" spans="1:18">
      <c r="A298" s="3" t="s">
        <v>96</v>
      </c>
      <c r="B298" s="4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  <c r="O298">
        <f t="shared" si="16"/>
        <v>0</v>
      </c>
      <c r="P298">
        <f t="shared" si="17"/>
        <v>0</v>
      </c>
      <c r="Q298">
        <f t="shared" si="18"/>
        <v>0</v>
      </c>
      <c r="R298">
        <f t="shared" si="19"/>
        <v>0</v>
      </c>
    </row>
    <row r="299" spans="1:18">
      <c r="A299" s="3" t="s">
        <v>96</v>
      </c>
      <c r="B299" s="4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  <c r="O299">
        <f t="shared" si="16"/>
        <v>0</v>
      </c>
      <c r="P299">
        <f t="shared" si="17"/>
        <v>0</v>
      </c>
      <c r="Q299">
        <f t="shared" si="18"/>
        <v>0</v>
      </c>
      <c r="R299">
        <f t="shared" si="19"/>
        <v>0</v>
      </c>
    </row>
    <row r="300" spans="1:18">
      <c r="A300" s="3" t="s">
        <v>96</v>
      </c>
      <c r="B300" s="4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  <c r="O300">
        <f t="shared" si="16"/>
        <v>0</v>
      </c>
      <c r="P300">
        <f t="shared" si="17"/>
        <v>0</v>
      </c>
      <c r="Q300">
        <f t="shared" si="18"/>
        <v>0</v>
      </c>
      <c r="R300">
        <f t="shared" si="19"/>
        <v>0</v>
      </c>
    </row>
    <row r="301" spans="1:18">
      <c r="A301" s="3" t="s">
        <v>96</v>
      </c>
      <c r="B301" s="4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  <c r="O301">
        <f t="shared" si="16"/>
        <v>0</v>
      </c>
      <c r="P301">
        <f t="shared" si="17"/>
        <v>0</v>
      </c>
      <c r="Q301">
        <f t="shared" si="18"/>
        <v>0</v>
      </c>
      <c r="R301">
        <f t="shared" si="19"/>
        <v>0</v>
      </c>
    </row>
    <row r="302" spans="1:18">
      <c r="A302" s="3" t="s">
        <v>97</v>
      </c>
      <c r="B302" s="4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  <c r="O302">
        <f t="shared" si="16"/>
        <v>1</v>
      </c>
      <c r="P302">
        <f t="shared" si="17"/>
        <v>0</v>
      </c>
      <c r="Q302">
        <f t="shared" si="18"/>
        <v>1</v>
      </c>
      <c r="R302">
        <f t="shared" si="19"/>
        <v>0</v>
      </c>
    </row>
    <row r="303" spans="1:18">
      <c r="A303" s="3" t="s">
        <v>97</v>
      </c>
      <c r="B303" s="4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  <c r="O303">
        <f t="shared" si="16"/>
        <v>1</v>
      </c>
      <c r="P303">
        <f t="shared" si="17"/>
        <v>0</v>
      </c>
      <c r="Q303">
        <f t="shared" si="18"/>
        <v>1</v>
      </c>
      <c r="R303">
        <f t="shared" si="19"/>
        <v>0</v>
      </c>
    </row>
    <row r="304" spans="1:18">
      <c r="A304" s="3" t="s">
        <v>97</v>
      </c>
      <c r="B304" s="4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  <c r="O304">
        <f t="shared" si="16"/>
        <v>1</v>
      </c>
      <c r="P304">
        <f t="shared" si="17"/>
        <v>0</v>
      </c>
      <c r="Q304">
        <f t="shared" si="18"/>
        <v>1</v>
      </c>
      <c r="R304">
        <f t="shared" si="19"/>
        <v>0</v>
      </c>
    </row>
    <row r="305" spans="1:18">
      <c r="A305" s="3" t="s">
        <v>97</v>
      </c>
      <c r="B305" s="4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  <c r="O305">
        <f t="shared" si="16"/>
        <v>1</v>
      </c>
      <c r="P305">
        <f t="shared" si="17"/>
        <v>0</v>
      </c>
      <c r="Q305">
        <f t="shared" si="18"/>
        <v>1</v>
      </c>
      <c r="R305">
        <f t="shared" si="19"/>
        <v>0</v>
      </c>
    </row>
    <row r="306" spans="1:18">
      <c r="A306" s="3" t="s">
        <v>98</v>
      </c>
      <c r="B306" s="4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  <c r="O306">
        <f t="shared" si="16"/>
        <v>0</v>
      </c>
      <c r="P306">
        <f t="shared" si="17"/>
        <v>1</v>
      </c>
      <c r="Q306">
        <f t="shared" si="18"/>
        <v>0</v>
      </c>
      <c r="R306">
        <f t="shared" si="19"/>
        <v>0</v>
      </c>
    </row>
    <row r="307" spans="1:18">
      <c r="A307" s="3" t="s">
        <v>98</v>
      </c>
      <c r="B307" s="4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  <c r="O307">
        <f t="shared" si="16"/>
        <v>0</v>
      </c>
      <c r="P307">
        <f t="shared" si="17"/>
        <v>1</v>
      </c>
      <c r="Q307">
        <f t="shared" si="18"/>
        <v>0</v>
      </c>
      <c r="R307">
        <f t="shared" si="19"/>
        <v>0</v>
      </c>
    </row>
    <row r="308" spans="1:18">
      <c r="A308" s="3" t="s">
        <v>98</v>
      </c>
      <c r="B308" s="4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  <c r="O308">
        <f t="shared" si="16"/>
        <v>0</v>
      </c>
      <c r="P308">
        <f t="shared" si="17"/>
        <v>1</v>
      </c>
      <c r="Q308">
        <f t="shared" si="18"/>
        <v>0</v>
      </c>
      <c r="R308">
        <f t="shared" si="19"/>
        <v>0</v>
      </c>
    </row>
    <row r="309" spans="1:18">
      <c r="A309" s="3" t="s">
        <v>98</v>
      </c>
      <c r="B309" s="4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  <c r="O309">
        <f t="shared" si="16"/>
        <v>0</v>
      </c>
      <c r="P309">
        <f t="shared" si="17"/>
        <v>1</v>
      </c>
      <c r="Q309">
        <f t="shared" si="18"/>
        <v>0</v>
      </c>
      <c r="R309">
        <f t="shared" si="19"/>
        <v>0</v>
      </c>
    </row>
    <row r="310" spans="1:18">
      <c r="A310" s="3" t="s">
        <v>99</v>
      </c>
      <c r="B310" s="4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  <c r="O310">
        <f t="shared" si="16"/>
        <v>0</v>
      </c>
      <c r="P310">
        <f t="shared" si="17"/>
        <v>1</v>
      </c>
      <c r="Q310">
        <f t="shared" si="18"/>
        <v>0</v>
      </c>
      <c r="R310">
        <f t="shared" si="19"/>
        <v>0</v>
      </c>
    </row>
    <row r="311" spans="1:18">
      <c r="A311" s="3" t="s">
        <v>99</v>
      </c>
      <c r="B311" s="4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  <c r="O311">
        <f t="shared" si="16"/>
        <v>0</v>
      </c>
      <c r="P311">
        <f t="shared" si="17"/>
        <v>1</v>
      </c>
      <c r="Q311">
        <f t="shared" si="18"/>
        <v>0</v>
      </c>
      <c r="R311">
        <f t="shared" si="19"/>
        <v>0</v>
      </c>
    </row>
    <row r="312" spans="1:18">
      <c r="A312" s="3" t="s">
        <v>99</v>
      </c>
      <c r="B312" s="4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  <c r="O312">
        <f t="shared" si="16"/>
        <v>0</v>
      </c>
      <c r="P312">
        <f t="shared" si="17"/>
        <v>1</v>
      </c>
      <c r="Q312">
        <f t="shared" si="18"/>
        <v>0</v>
      </c>
      <c r="R312">
        <f t="shared" si="19"/>
        <v>0</v>
      </c>
    </row>
    <row r="313" spans="1:18">
      <c r="A313" s="3" t="s">
        <v>99</v>
      </c>
      <c r="B313" s="4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>
        <v>3.92</v>
      </c>
      <c r="M313" s="3">
        <v>771129.07</v>
      </c>
      <c r="N313" s="3">
        <v>116851.13</v>
      </c>
      <c r="O313">
        <f t="shared" si="16"/>
        <v>0</v>
      </c>
      <c r="P313">
        <f t="shared" si="17"/>
        <v>1</v>
      </c>
      <c r="Q313">
        <f t="shared" si="18"/>
        <v>0</v>
      </c>
      <c r="R313">
        <f t="shared" si="19"/>
        <v>0</v>
      </c>
    </row>
    <row r="314" spans="1:18">
      <c r="A314" s="3" t="s">
        <v>100</v>
      </c>
      <c r="B314" s="4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  <c r="O314">
        <f t="shared" si="16"/>
        <v>1</v>
      </c>
      <c r="P314">
        <f t="shared" si="17"/>
        <v>0</v>
      </c>
      <c r="Q314">
        <f t="shared" si="18"/>
        <v>0</v>
      </c>
      <c r="R314">
        <f t="shared" si="19"/>
        <v>0</v>
      </c>
    </row>
    <row r="315" spans="1:18">
      <c r="A315" s="3" t="s">
        <v>100</v>
      </c>
      <c r="B315" s="4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>
        <v>3.92</v>
      </c>
      <c r="M315" s="3">
        <v>688368.46</v>
      </c>
      <c r="N315" s="3">
        <v>93588.42</v>
      </c>
      <c r="O315">
        <f t="shared" si="16"/>
        <v>1</v>
      </c>
      <c r="P315">
        <f t="shared" si="17"/>
        <v>0</v>
      </c>
      <c r="Q315">
        <f t="shared" si="18"/>
        <v>0</v>
      </c>
      <c r="R315">
        <f t="shared" si="19"/>
        <v>0</v>
      </c>
    </row>
    <row r="316" spans="1:18">
      <c r="A316" s="3" t="s">
        <v>100</v>
      </c>
      <c r="B316" s="4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  <c r="O316">
        <f t="shared" si="16"/>
        <v>1</v>
      </c>
      <c r="P316">
        <f t="shared" si="17"/>
        <v>0</v>
      </c>
      <c r="Q316">
        <f t="shared" si="18"/>
        <v>0</v>
      </c>
      <c r="R316">
        <f t="shared" si="19"/>
        <v>0</v>
      </c>
    </row>
    <row r="317" spans="1:18">
      <c r="A317" s="3" t="s">
        <v>100</v>
      </c>
      <c r="B317" s="4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  <c r="O317">
        <f t="shared" si="16"/>
        <v>1</v>
      </c>
      <c r="P317">
        <f t="shared" si="17"/>
        <v>0</v>
      </c>
      <c r="Q317">
        <f t="shared" si="18"/>
        <v>0</v>
      </c>
      <c r="R317">
        <f t="shared" si="19"/>
        <v>0</v>
      </c>
    </row>
    <row r="318" spans="1:18">
      <c r="A318" s="3" t="s">
        <v>101</v>
      </c>
      <c r="B318" s="4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  <c r="O318">
        <f t="shared" si="16"/>
        <v>0</v>
      </c>
      <c r="P318">
        <f t="shared" si="17"/>
        <v>0</v>
      </c>
      <c r="Q318">
        <f t="shared" si="18"/>
        <v>0</v>
      </c>
      <c r="R318">
        <f t="shared" si="19"/>
        <v>0</v>
      </c>
    </row>
    <row r="319" spans="1:18">
      <c r="A319" s="3" t="s">
        <v>101</v>
      </c>
      <c r="B319" s="4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  <c r="O319">
        <f t="shared" si="16"/>
        <v>0</v>
      </c>
      <c r="P319">
        <f t="shared" si="17"/>
        <v>0</v>
      </c>
      <c r="Q319">
        <f t="shared" si="18"/>
        <v>0</v>
      </c>
      <c r="R319">
        <f t="shared" si="19"/>
        <v>0</v>
      </c>
    </row>
    <row r="320" spans="1:18">
      <c r="A320" s="3" t="s">
        <v>101</v>
      </c>
      <c r="B320" s="4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  <c r="O320">
        <f t="shared" si="16"/>
        <v>0</v>
      </c>
      <c r="P320">
        <f t="shared" si="17"/>
        <v>0</v>
      </c>
      <c r="Q320">
        <f t="shared" si="18"/>
        <v>0</v>
      </c>
      <c r="R320">
        <f t="shared" si="19"/>
        <v>0</v>
      </c>
    </row>
    <row r="321" spans="1:18">
      <c r="A321" s="3" t="s">
        <v>101</v>
      </c>
      <c r="B321" s="4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  <c r="O321">
        <f t="shared" si="16"/>
        <v>0</v>
      </c>
      <c r="P321">
        <f t="shared" si="17"/>
        <v>0</v>
      </c>
      <c r="Q321">
        <f t="shared" si="18"/>
        <v>0</v>
      </c>
      <c r="R321">
        <f t="shared" si="1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D15" sqref="D15"/>
    </sheetView>
  </sheetViews>
  <sheetFormatPr defaultRowHeight="14.25"/>
  <cols>
    <col min="1" max="1" width="21" bestFit="1" customWidth="1"/>
    <col min="2" max="2" width="12.625" bestFit="1" customWidth="1"/>
    <col min="3" max="3" width="17.625" bestFit="1" customWidth="1"/>
    <col min="4" max="4" width="16.5" bestFit="1" customWidth="1"/>
    <col min="5" max="5" width="12.5" bestFit="1" customWidth="1"/>
    <col min="6" max="6" width="13.125" bestFit="1" customWidth="1"/>
    <col min="7" max="7" width="12" bestFit="1" customWidth="1"/>
    <col min="8" max="8" width="12.625" bestFit="1" customWidth="1"/>
    <col min="9" max="9" width="12.125" bestFit="1" customWidth="1"/>
  </cols>
  <sheetData>
    <row r="1" spans="1:9">
      <c r="A1" t="s">
        <v>122</v>
      </c>
    </row>
    <row r="2" spans="1:9" ht="15" thickBot="1"/>
    <row r="3" spans="1:9">
      <c r="A3" s="9" t="s">
        <v>123</v>
      </c>
      <c r="B3" s="9"/>
    </row>
    <row r="4" spans="1:9">
      <c r="A4" s="7" t="s">
        <v>124</v>
      </c>
      <c r="B4" s="15">
        <v>0.89870950142975148</v>
      </c>
    </row>
    <row r="5" spans="1:9">
      <c r="A5" s="7" t="s">
        <v>125</v>
      </c>
      <c r="B5" s="15">
        <v>0.8076787679601124</v>
      </c>
    </row>
    <row r="6" spans="1:9">
      <c r="A6" s="7" t="s">
        <v>126</v>
      </c>
      <c r="B6" s="15">
        <v>0.80461632795947713</v>
      </c>
    </row>
    <row r="7" spans="1:9">
      <c r="A7" s="7" t="s">
        <v>127</v>
      </c>
      <c r="B7" s="15">
        <v>45869.374927039265</v>
      </c>
    </row>
    <row r="8" spans="1:9" ht="15" thickBot="1">
      <c r="A8" s="8" t="s">
        <v>128</v>
      </c>
      <c r="B8" s="16">
        <v>320</v>
      </c>
    </row>
    <row r="10" spans="1:9" ht="15" thickBot="1">
      <c r="A10" s="10" t="s">
        <v>129</v>
      </c>
      <c r="B10" s="10"/>
      <c r="C10" s="10"/>
      <c r="D10" s="10"/>
      <c r="E10" s="10"/>
      <c r="F10" s="10"/>
      <c r="G10" s="10"/>
      <c r="H10" s="10"/>
      <c r="I10" s="10"/>
    </row>
    <row r="11" spans="1:9">
      <c r="A11" s="14"/>
      <c r="B11" s="14" t="s">
        <v>134</v>
      </c>
      <c r="C11" s="14" t="s">
        <v>135</v>
      </c>
      <c r="D11" s="14" t="s">
        <v>136</v>
      </c>
      <c r="E11" s="14" t="s">
        <v>137</v>
      </c>
      <c r="F11" s="14" t="s">
        <v>138</v>
      </c>
      <c r="G11" s="10"/>
      <c r="H11" s="10"/>
      <c r="I11" s="10"/>
    </row>
    <row r="12" spans="1:9">
      <c r="A12" s="12" t="s">
        <v>130</v>
      </c>
      <c r="B12" s="12">
        <v>5</v>
      </c>
      <c r="C12" s="12">
        <v>2774512756144.7876</v>
      </c>
      <c r="D12" s="12">
        <v>554902551228.95752</v>
      </c>
      <c r="E12" s="12">
        <v>263.73700963695575</v>
      </c>
      <c r="F12" s="12">
        <v>4.2608173034750282E-110</v>
      </c>
      <c r="G12" s="10"/>
      <c r="H12" s="10"/>
      <c r="I12" s="10"/>
    </row>
    <row r="13" spans="1:9">
      <c r="A13" s="12" t="s">
        <v>131</v>
      </c>
      <c r="B13" s="12">
        <v>314</v>
      </c>
      <c r="C13" s="12">
        <v>660655860645.95166</v>
      </c>
      <c r="D13" s="12">
        <v>2103999556.1972983</v>
      </c>
      <c r="E13" s="12"/>
      <c r="F13" s="12"/>
      <c r="G13" s="10"/>
      <c r="H13" s="10"/>
      <c r="I13" s="10"/>
    </row>
    <row r="14" spans="1:9" ht="15" thickBot="1">
      <c r="A14" s="13" t="s">
        <v>132</v>
      </c>
      <c r="B14" s="13">
        <v>319</v>
      </c>
      <c r="C14" s="13">
        <v>3435168616790.7393</v>
      </c>
      <c r="D14" s="13"/>
      <c r="E14" s="13"/>
      <c r="F14" s="13"/>
      <c r="G14" s="10"/>
      <c r="H14" s="10"/>
      <c r="I14" s="10"/>
    </row>
    <row r="15" spans="1:9" ht="15" thickBot="1">
      <c r="A15" s="10"/>
      <c r="B15" s="10"/>
      <c r="C15" s="10"/>
      <c r="D15" s="10"/>
      <c r="E15" s="10"/>
      <c r="F15" s="10"/>
      <c r="G15" s="10"/>
      <c r="H15" s="10"/>
      <c r="I15" s="10"/>
    </row>
    <row r="16" spans="1:9">
      <c r="A16" s="14"/>
      <c r="B16" s="14" t="s">
        <v>139</v>
      </c>
      <c r="C16" s="14" t="s">
        <v>127</v>
      </c>
      <c r="D16" s="14" t="s">
        <v>140</v>
      </c>
      <c r="E16" s="14" t="s">
        <v>141</v>
      </c>
      <c r="F16" s="14" t="s">
        <v>142</v>
      </c>
      <c r="G16" s="14" t="s">
        <v>143</v>
      </c>
      <c r="H16" s="14" t="s">
        <v>144</v>
      </c>
      <c r="I16" s="14" t="s">
        <v>145</v>
      </c>
    </row>
    <row r="17" spans="1:9">
      <c r="A17" s="12" t="s">
        <v>133</v>
      </c>
      <c r="B17" s="12">
        <v>83893.9242839746</v>
      </c>
      <c r="C17" s="12">
        <v>49466.371349865469</v>
      </c>
      <c r="D17" s="12">
        <v>1.6959789447786686</v>
      </c>
      <c r="E17" s="12">
        <v>9.0881024910314731E-2</v>
      </c>
      <c r="F17" s="12">
        <v>-13433.520798093727</v>
      </c>
      <c r="G17" s="12">
        <v>181221.36936604293</v>
      </c>
      <c r="H17" s="12">
        <v>-13433.520798093727</v>
      </c>
      <c r="I17" s="12">
        <v>181221.36936604293</v>
      </c>
    </row>
    <row r="18" spans="1:9">
      <c r="A18" s="12" t="s">
        <v>4</v>
      </c>
      <c r="B18" s="12">
        <v>1.1937280588728743</v>
      </c>
      <c r="C18" s="12">
        <v>0.13292711117648334</v>
      </c>
      <c r="D18" s="12">
        <v>8.9803204802066094</v>
      </c>
      <c r="E18" s="12">
        <v>2.5472002264280295E-17</v>
      </c>
      <c r="F18" s="12">
        <v>0.93218762726443449</v>
      </c>
      <c r="G18" s="12">
        <v>1.455268490481314</v>
      </c>
      <c r="H18" s="12">
        <v>0.93218762726443449</v>
      </c>
      <c r="I18" s="12">
        <v>1.455268490481314</v>
      </c>
    </row>
    <row r="19" spans="1:9">
      <c r="A19" s="12" t="s">
        <v>5</v>
      </c>
      <c r="B19" s="12">
        <v>33.782168783555136</v>
      </c>
      <c r="C19" s="12">
        <v>1.0630376550473899</v>
      </c>
      <c r="D19" s="12">
        <v>31.778901361729407</v>
      </c>
      <c r="E19" s="12">
        <v>3.9651202956732422E-100</v>
      </c>
      <c r="F19" s="12">
        <v>31.690591492388478</v>
      </c>
      <c r="G19" s="12">
        <v>35.873746074721794</v>
      </c>
      <c r="H19" s="12">
        <v>31.690591492388478</v>
      </c>
      <c r="I19" s="12">
        <v>35.873746074721794</v>
      </c>
    </row>
    <row r="20" spans="1:9">
      <c r="A20" s="12" t="s">
        <v>8</v>
      </c>
      <c r="B20" s="12">
        <v>2991.9930047192597</v>
      </c>
      <c r="C20" s="12">
        <v>481.17926078735155</v>
      </c>
      <c r="D20" s="12">
        <v>6.2180423150895461</v>
      </c>
      <c r="E20" s="12">
        <v>1.6027971907266999E-9</v>
      </c>
      <c r="F20" s="12">
        <v>2045.2498577906431</v>
      </c>
      <c r="G20" s="12">
        <v>3938.7361516478763</v>
      </c>
      <c r="H20" s="12">
        <v>2045.2498577906431</v>
      </c>
      <c r="I20" s="12">
        <v>3938.7361516478763</v>
      </c>
    </row>
    <row r="21" spans="1:9">
      <c r="A21" s="12" t="s">
        <v>11</v>
      </c>
      <c r="B21" s="12">
        <v>11255.192282352855</v>
      </c>
      <c r="C21" s="12">
        <v>5013.7480641468519</v>
      </c>
      <c r="D21" s="12">
        <v>2.2448659442699896</v>
      </c>
      <c r="E21" s="12">
        <v>2.5472596595384953E-2</v>
      </c>
      <c r="F21" s="12">
        <v>1390.4038199602874</v>
      </c>
      <c r="G21" s="12">
        <v>21119.980744745422</v>
      </c>
      <c r="H21" s="12">
        <v>1390.4038199602874</v>
      </c>
      <c r="I21" s="12">
        <v>21119.980744745422</v>
      </c>
    </row>
    <row r="22" spans="1:9" ht="15" thickBot="1">
      <c r="A22" s="13" t="s">
        <v>118</v>
      </c>
      <c r="B22" s="13">
        <v>-2786.9713378598412</v>
      </c>
      <c r="C22" s="13">
        <v>6479.8091703167102</v>
      </c>
      <c r="D22" s="13">
        <v>-0.43010083547315697</v>
      </c>
      <c r="E22" s="13">
        <v>0.66741731987851194</v>
      </c>
      <c r="F22" s="13">
        <v>-15536.304954949535</v>
      </c>
      <c r="G22" s="13">
        <v>9962.3622792298538</v>
      </c>
      <c r="H22" s="13">
        <v>-15536.304954949535</v>
      </c>
      <c r="I22" s="13">
        <v>9962.3622792298502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>
      <selection activeCell="J5" sqref="J5"/>
    </sheetView>
  </sheetViews>
  <sheetFormatPr defaultRowHeight="14.25"/>
  <cols>
    <col min="1" max="2" width="9.875" bestFit="1" customWidth="1"/>
    <col min="3" max="3" width="7" bestFit="1" customWidth="1"/>
    <col min="6" max="6" width="11" bestFit="1" customWidth="1"/>
  </cols>
  <sheetData>
    <row r="1" spans="1:6" ht="45">
      <c r="A1" s="1" t="s">
        <v>12</v>
      </c>
      <c r="B1" s="1" t="s">
        <v>4</v>
      </c>
      <c r="C1" s="1" t="s">
        <v>5</v>
      </c>
      <c r="D1" s="1" t="s">
        <v>8</v>
      </c>
      <c r="E1" s="1" t="s">
        <v>11</v>
      </c>
      <c r="F1" s="1" t="s">
        <v>118</v>
      </c>
    </row>
    <row r="2" spans="1:6">
      <c r="A2" s="3">
        <v>658832.62</v>
      </c>
      <c r="B2" s="3">
        <v>70389.11</v>
      </c>
      <c r="C2" s="3">
        <v>8302</v>
      </c>
      <c r="D2" s="3">
        <v>75</v>
      </c>
      <c r="E2" s="3">
        <v>3.1</v>
      </c>
      <c r="F2">
        <v>0</v>
      </c>
    </row>
    <row r="3" spans="1:6">
      <c r="A3" s="3">
        <v>634436</v>
      </c>
      <c r="B3" s="3">
        <v>43827.89</v>
      </c>
      <c r="C3" s="3">
        <v>8487</v>
      </c>
      <c r="D3" s="3">
        <v>84.4</v>
      </c>
      <c r="E3" s="3">
        <v>2.8</v>
      </c>
      <c r="F3">
        <v>0</v>
      </c>
    </row>
    <row r="4" spans="1:6">
      <c r="A4" s="3">
        <v>678722.06</v>
      </c>
      <c r="B4" s="3">
        <v>59921.75</v>
      </c>
      <c r="C4" s="3">
        <v>9113</v>
      </c>
      <c r="D4" s="3">
        <v>88</v>
      </c>
      <c r="E4" s="3">
        <v>3.2</v>
      </c>
      <c r="F4">
        <v>0</v>
      </c>
    </row>
    <row r="5" spans="1:6">
      <c r="A5" s="3">
        <v>658920.30000000005</v>
      </c>
      <c r="B5" s="3">
        <v>56856.63</v>
      </c>
      <c r="C5" s="3">
        <v>9431</v>
      </c>
      <c r="D5" s="3">
        <v>86.9</v>
      </c>
      <c r="E5" s="3">
        <v>3.4</v>
      </c>
      <c r="F5">
        <v>0</v>
      </c>
    </row>
    <row r="6" spans="1:6">
      <c r="A6" s="3">
        <v>741341.44</v>
      </c>
      <c r="B6" s="3">
        <v>48412.639999999999</v>
      </c>
      <c r="C6" s="3">
        <v>9545</v>
      </c>
      <c r="D6" s="3">
        <v>97.6</v>
      </c>
      <c r="E6" s="3">
        <v>4.2</v>
      </c>
      <c r="F6">
        <v>0</v>
      </c>
    </row>
    <row r="7" spans="1:6">
      <c r="A7" s="3">
        <v>761835.34</v>
      </c>
      <c r="B7" s="3">
        <v>64811.21</v>
      </c>
      <c r="C7" s="3">
        <v>9792</v>
      </c>
      <c r="D7" s="3">
        <v>84.2</v>
      </c>
      <c r="E7" s="3">
        <v>4.2</v>
      </c>
      <c r="F7">
        <v>0</v>
      </c>
    </row>
    <row r="8" spans="1:6">
      <c r="A8" s="3">
        <v>806615.54</v>
      </c>
      <c r="B8" s="3">
        <v>46213.45</v>
      </c>
      <c r="C8" s="3">
        <v>10616</v>
      </c>
      <c r="D8" s="3">
        <v>85.2</v>
      </c>
      <c r="E8" s="3">
        <v>4.0999999999999996</v>
      </c>
      <c r="F8">
        <v>0</v>
      </c>
    </row>
    <row r="9" spans="1:6">
      <c r="A9" s="3">
        <v>850164.26</v>
      </c>
      <c r="B9" s="3">
        <v>68148.52</v>
      </c>
      <c r="C9" s="3">
        <v>8567</v>
      </c>
      <c r="D9" s="3">
        <v>95.6</v>
      </c>
      <c r="E9" s="3">
        <v>3.9</v>
      </c>
      <c r="F9">
        <v>0</v>
      </c>
    </row>
    <row r="10" spans="1:6">
      <c r="A10" s="3">
        <v>930581.7</v>
      </c>
      <c r="B10" s="3">
        <v>71838.86</v>
      </c>
      <c r="C10" s="3">
        <v>10979</v>
      </c>
      <c r="D10" s="3">
        <v>88.6</v>
      </c>
      <c r="E10" s="3">
        <v>3.8</v>
      </c>
      <c r="F10">
        <v>1</v>
      </c>
    </row>
    <row r="11" spans="1:6">
      <c r="A11" s="3">
        <v>779010.94</v>
      </c>
      <c r="B11" s="3">
        <v>68133.440000000002</v>
      </c>
      <c r="C11" s="3">
        <v>9459</v>
      </c>
      <c r="D11" s="3">
        <v>85</v>
      </c>
      <c r="E11" s="3">
        <v>4.2</v>
      </c>
      <c r="F11">
        <v>1</v>
      </c>
    </row>
    <row r="12" spans="1:6">
      <c r="A12" s="3">
        <v>723060.76</v>
      </c>
      <c r="B12" s="3">
        <v>34285.21</v>
      </c>
      <c r="C12" s="3">
        <v>9172</v>
      </c>
      <c r="D12" s="3">
        <v>88.3</v>
      </c>
      <c r="E12" s="3">
        <v>3.8</v>
      </c>
      <c r="F12">
        <v>1</v>
      </c>
    </row>
    <row r="13" spans="1:6">
      <c r="A13" s="3">
        <v>910791.94</v>
      </c>
      <c r="B13" s="3">
        <v>67979.88</v>
      </c>
      <c r="C13" s="3">
        <v>11230</v>
      </c>
      <c r="D13" s="3">
        <v>85.3</v>
      </c>
      <c r="E13" s="3">
        <v>3.8</v>
      </c>
      <c r="F13">
        <v>1</v>
      </c>
    </row>
    <row r="14" spans="1:6">
      <c r="A14" s="3">
        <v>922168.6</v>
      </c>
      <c r="B14" s="3">
        <v>71828.259999999995</v>
      </c>
      <c r="C14" s="3">
        <v>12775</v>
      </c>
      <c r="D14" s="3">
        <v>81.7</v>
      </c>
      <c r="E14" s="3">
        <v>4.2</v>
      </c>
      <c r="F14">
        <v>0</v>
      </c>
    </row>
    <row r="15" spans="1:6">
      <c r="A15" s="3">
        <v>726606.28</v>
      </c>
      <c r="B15" s="3">
        <v>55716.82</v>
      </c>
      <c r="C15" s="3">
        <v>10054</v>
      </c>
      <c r="D15" s="3">
        <v>84.9</v>
      </c>
      <c r="E15" s="3">
        <v>4.3</v>
      </c>
      <c r="F15">
        <v>0</v>
      </c>
    </row>
    <row r="16" spans="1:6">
      <c r="A16" s="3">
        <v>746501.09</v>
      </c>
      <c r="B16" s="3">
        <v>59909.51</v>
      </c>
      <c r="C16" s="3">
        <v>8895</v>
      </c>
      <c r="D16" s="3">
        <v>88.8</v>
      </c>
      <c r="E16" s="3">
        <v>4.3</v>
      </c>
      <c r="F16">
        <v>0</v>
      </c>
    </row>
    <row r="17" spans="1:6">
      <c r="A17" s="3">
        <v>834017.02</v>
      </c>
      <c r="B17" s="3">
        <v>75305.710000000006</v>
      </c>
      <c r="C17" s="3">
        <v>10940</v>
      </c>
      <c r="D17" s="3">
        <v>76.5</v>
      </c>
      <c r="E17" s="3">
        <v>4.5</v>
      </c>
      <c r="F17">
        <v>0</v>
      </c>
    </row>
    <row r="18" spans="1:6">
      <c r="A18" s="3">
        <v>666152.52</v>
      </c>
      <c r="B18" s="3">
        <v>48804.22</v>
      </c>
      <c r="C18" s="3">
        <v>7057</v>
      </c>
      <c r="D18" s="3">
        <v>87.7</v>
      </c>
      <c r="E18" s="3">
        <v>3.7</v>
      </c>
      <c r="F18">
        <v>0</v>
      </c>
    </row>
    <row r="19" spans="1:6">
      <c r="A19" s="3">
        <v>573155.18999999994</v>
      </c>
      <c r="B19" s="3">
        <v>59117.9</v>
      </c>
      <c r="C19" s="3">
        <v>4263</v>
      </c>
      <c r="D19" s="3">
        <v>87.6</v>
      </c>
      <c r="E19" s="3">
        <v>3.6</v>
      </c>
      <c r="F19">
        <v>0</v>
      </c>
    </row>
    <row r="20" spans="1:6">
      <c r="A20" s="3">
        <v>666573.19999999995</v>
      </c>
      <c r="B20" s="3">
        <v>78831.12</v>
      </c>
      <c r="C20" s="3">
        <v>5538</v>
      </c>
      <c r="D20" s="3">
        <v>94.1</v>
      </c>
      <c r="E20" s="3">
        <v>3.9</v>
      </c>
      <c r="F20">
        <v>0</v>
      </c>
    </row>
    <row r="21" spans="1:6">
      <c r="A21" s="3">
        <v>591619.94999999995</v>
      </c>
      <c r="B21" s="3">
        <v>41441.93</v>
      </c>
      <c r="C21" s="3">
        <v>4865</v>
      </c>
      <c r="D21" s="3">
        <v>88.3</v>
      </c>
      <c r="E21" s="3">
        <v>4</v>
      </c>
      <c r="F21">
        <v>0</v>
      </c>
    </row>
    <row r="22" spans="1:6">
      <c r="A22" s="3">
        <v>415721.82</v>
      </c>
      <c r="B22" s="3">
        <v>30356.28</v>
      </c>
      <c r="C22" s="3">
        <v>2822</v>
      </c>
      <c r="D22" s="3">
        <v>84.8</v>
      </c>
      <c r="E22" s="3">
        <v>5</v>
      </c>
      <c r="F22">
        <v>1</v>
      </c>
    </row>
    <row r="23" spans="1:6">
      <c r="A23" s="3">
        <v>491905.13</v>
      </c>
      <c r="B23" s="3">
        <v>33518.879999999997</v>
      </c>
      <c r="C23" s="3">
        <v>2121</v>
      </c>
      <c r="D23" s="3">
        <v>88.5</v>
      </c>
      <c r="E23" s="3">
        <v>5</v>
      </c>
      <c r="F23">
        <v>1</v>
      </c>
    </row>
    <row r="24" spans="1:6">
      <c r="A24" s="3">
        <v>555929.4</v>
      </c>
      <c r="B24" s="3">
        <v>42267.37</v>
      </c>
      <c r="C24" s="3">
        <v>3364</v>
      </c>
      <c r="D24" s="3">
        <v>82</v>
      </c>
      <c r="E24" s="3">
        <v>4.5999999999999996</v>
      </c>
      <c r="F24">
        <v>1</v>
      </c>
    </row>
    <row r="25" spans="1:6">
      <c r="A25" s="3">
        <v>565810.99</v>
      </c>
      <c r="B25" s="3">
        <v>62060.43</v>
      </c>
      <c r="C25" s="3">
        <v>2613</v>
      </c>
      <c r="D25" s="3">
        <v>92.1</v>
      </c>
      <c r="E25" s="3">
        <v>4.7</v>
      </c>
      <c r="F25">
        <v>1</v>
      </c>
    </row>
    <row r="26" spans="1:6">
      <c r="A26" s="3">
        <v>811771.14</v>
      </c>
      <c r="B26" s="3">
        <v>57696.69</v>
      </c>
      <c r="C26" s="3">
        <v>10218</v>
      </c>
      <c r="D26" s="3">
        <v>94.8</v>
      </c>
      <c r="E26" s="3">
        <v>3.5</v>
      </c>
      <c r="F26">
        <v>0</v>
      </c>
    </row>
    <row r="27" spans="1:6">
      <c r="A27" s="3">
        <v>800451.94</v>
      </c>
      <c r="B27" s="3">
        <v>172415.52</v>
      </c>
      <c r="C27" s="3">
        <v>8927</v>
      </c>
      <c r="D27" s="3">
        <v>86.2</v>
      </c>
      <c r="E27" s="3">
        <v>3.9</v>
      </c>
      <c r="F27">
        <v>0</v>
      </c>
    </row>
    <row r="28" spans="1:6">
      <c r="A28" s="3">
        <v>783672.82</v>
      </c>
      <c r="B28" s="3">
        <v>55270.52</v>
      </c>
      <c r="C28" s="3">
        <v>9315</v>
      </c>
      <c r="D28" s="3">
        <v>91.9</v>
      </c>
      <c r="E28" s="3">
        <v>4</v>
      </c>
      <c r="F28">
        <v>0</v>
      </c>
    </row>
    <row r="29" spans="1:6">
      <c r="A29" s="3">
        <v>701641.97</v>
      </c>
      <c r="B29" s="3">
        <v>52715.1</v>
      </c>
      <c r="C29" s="3">
        <v>7223</v>
      </c>
      <c r="D29" s="3">
        <v>84.2</v>
      </c>
      <c r="E29" s="3">
        <v>3.7</v>
      </c>
      <c r="F29">
        <v>0</v>
      </c>
    </row>
    <row r="30" spans="1:6">
      <c r="A30" s="3">
        <v>511844.41</v>
      </c>
      <c r="B30" s="3">
        <v>68600.62</v>
      </c>
      <c r="C30" s="3">
        <v>3988</v>
      </c>
      <c r="D30" s="3">
        <v>85</v>
      </c>
      <c r="E30" s="3">
        <v>3.6</v>
      </c>
      <c r="F30">
        <v>0</v>
      </c>
    </row>
    <row r="31" spans="1:6">
      <c r="A31" s="3">
        <v>537383.79</v>
      </c>
      <c r="B31" s="3">
        <v>63176.73</v>
      </c>
      <c r="C31" s="3">
        <v>2390</v>
      </c>
      <c r="D31" s="3">
        <v>87.5</v>
      </c>
      <c r="E31" s="3">
        <v>3.1</v>
      </c>
      <c r="F31">
        <v>0</v>
      </c>
    </row>
    <row r="32" spans="1:6">
      <c r="A32" s="3">
        <v>500173.02</v>
      </c>
      <c r="B32" s="3">
        <v>44970.080000000002</v>
      </c>
      <c r="C32" s="3">
        <v>2471</v>
      </c>
      <c r="D32" s="3">
        <v>87.6</v>
      </c>
      <c r="E32" s="3">
        <v>3.7</v>
      </c>
      <c r="F32">
        <v>0</v>
      </c>
    </row>
    <row r="33" spans="1:6">
      <c r="A33" s="3">
        <v>427917.38</v>
      </c>
      <c r="B33" s="3">
        <v>69816.350000000006</v>
      </c>
      <c r="C33" s="3">
        <v>971</v>
      </c>
      <c r="D33" s="3">
        <v>89.9</v>
      </c>
      <c r="E33" s="3">
        <v>3.6</v>
      </c>
      <c r="F33">
        <v>0</v>
      </c>
    </row>
    <row r="34" spans="1:6">
      <c r="A34" s="3">
        <v>641865.03</v>
      </c>
      <c r="B34" s="3">
        <v>54597.83</v>
      </c>
      <c r="C34" s="3">
        <v>9429</v>
      </c>
      <c r="D34" s="3">
        <v>83.3</v>
      </c>
      <c r="E34" s="3">
        <v>4.2</v>
      </c>
      <c r="F34">
        <v>1</v>
      </c>
    </row>
    <row r="35" spans="1:6">
      <c r="A35" s="3">
        <v>799477.76000000001</v>
      </c>
      <c r="B35" s="3">
        <v>73771.91</v>
      </c>
      <c r="C35" s="3">
        <v>11695</v>
      </c>
      <c r="D35" s="3">
        <v>84.7</v>
      </c>
      <c r="E35" s="3">
        <v>3.92</v>
      </c>
      <c r="F35">
        <v>1</v>
      </c>
    </row>
    <row r="36" spans="1:6">
      <c r="A36" s="3">
        <v>798952.17</v>
      </c>
      <c r="B36" s="3">
        <v>74413.88</v>
      </c>
      <c r="C36" s="3">
        <v>9449</v>
      </c>
      <c r="D36" s="3">
        <v>92.1</v>
      </c>
      <c r="E36" s="3">
        <v>3.5</v>
      </c>
      <c r="F36">
        <v>1</v>
      </c>
    </row>
    <row r="37" spans="1:6">
      <c r="A37" s="3">
        <v>800979.78</v>
      </c>
      <c r="B37" s="3">
        <v>52483.77</v>
      </c>
      <c r="C37" s="3">
        <v>10453</v>
      </c>
      <c r="D37" s="3">
        <v>99</v>
      </c>
      <c r="E37" s="3">
        <v>3.6</v>
      </c>
      <c r="F37">
        <v>1</v>
      </c>
    </row>
    <row r="38" spans="1:6">
      <c r="A38" s="3">
        <v>820593.93</v>
      </c>
      <c r="B38" s="3">
        <v>75269.87</v>
      </c>
      <c r="C38" s="3">
        <v>8838</v>
      </c>
      <c r="D38" s="3">
        <v>83.1</v>
      </c>
      <c r="E38" s="3">
        <v>4.2</v>
      </c>
      <c r="F38">
        <v>1</v>
      </c>
    </row>
    <row r="39" spans="1:6">
      <c r="A39" s="3">
        <v>718330.53</v>
      </c>
      <c r="B39" s="3">
        <v>61245.41</v>
      </c>
      <c r="C39" s="3">
        <v>8156</v>
      </c>
      <c r="D39" s="3">
        <v>92.9</v>
      </c>
      <c r="E39" s="3">
        <v>3.8</v>
      </c>
      <c r="F39">
        <v>1</v>
      </c>
    </row>
    <row r="40" spans="1:6">
      <c r="A40" s="3">
        <v>736633.4</v>
      </c>
      <c r="B40" s="3">
        <v>93381.26</v>
      </c>
      <c r="C40" s="3">
        <v>7562</v>
      </c>
      <c r="D40" s="3">
        <v>82.9</v>
      </c>
      <c r="E40" s="3">
        <v>4</v>
      </c>
      <c r="F40">
        <v>1</v>
      </c>
    </row>
    <row r="41" spans="1:6">
      <c r="A41" s="3">
        <v>828623.85</v>
      </c>
      <c r="B41" s="3">
        <v>65012.19</v>
      </c>
      <c r="C41" s="3">
        <v>9598</v>
      </c>
      <c r="D41" s="3">
        <v>98.3</v>
      </c>
      <c r="E41" s="3">
        <v>3.8</v>
      </c>
      <c r="F41">
        <v>1</v>
      </c>
    </row>
    <row r="42" spans="1:6">
      <c r="A42" s="3">
        <v>592195.85</v>
      </c>
      <c r="B42" s="3">
        <v>40462.94</v>
      </c>
      <c r="C42" s="3">
        <v>3660</v>
      </c>
      <c r="D42" s="3">
        <v>95.2</v>
      </c>
      <c r="E42" s="3">
        <v>4.4000000000000004</v>
      </c>
      <c r="F42">
        <v>0</v>
      </c>
    </row>
    <row r="43" spans="1:6">
      <c r="A43" s="3">
        <v>532644.46</v>
      </c>
      <c r="B43" s="3">
        <v>46123.88</v>
      </c>
      <c r="C43" s="3">
        <v>3227</v>
      </c>
      <c r="D43" s="3">
        <v>75.400000000000006</v>
      </c>
      <c r="E43" s="3">
        <v>4.4000000000000004</v>
      </c>
      <c r="F43">
        <v>0</v>
      </c>
    </row>
    <row r="44" spans="1:6">
      <c r="A44" s="3">
        <v>657429.18000000005</v>
      </c>
      <c r="B44" s="3">
        <v>68077.539999999994</v>
      </c>
      <c r="C44" s="3">
        <v>3360</v>
      </c>
      <c r="D44" s="3">
        <v>88.2</v>
      </c>
      <c r="E44" s="3">
        <v>4</v>
      </c>
      <c r="F44">
        <v>0</v>
      </c>
    </row>
    <row r="45" spans="1:6">
      <c r="A45" s="3">
        <v>605178</v>
      </c>
      <c r="B45" s="3">
        <v>64882.14</v>
      </c>
      <c r="C45" s="3">
        <v>3642</v>
      </c>
      <c r="D45" s="3">
        <v>87.8</v>
      </c>
      <c r="E45" s="3">
        <v>4.2</v>
      </c>
      <c r="F45">
        <v>0</v>
      </c>
    </row>
    <row r="46" spans="1:6">
      <c r="A46" s="3">
        <v>595467.6</v>
      </c>
      <c r="B46" s="3">
        <v>138855.51</v>
      </c>
      <c r="C46" s="3">
        <v>5145</v>
      </c>
      <c r="D46" s="3">
        <v>88.2</v>
      </c>
      <c r="E46" s="3">
        <v>3.2</v>
      </c>
      <c r="F46">
        <v>0</v>
      </c>
    </row>
    <row r="47" spans="1:6">
      <c r="A47" s="3">
        <v>599603.4</v>
      </c>
      <c r="B47" s="3">
        <v>63630.21</v>
      </c>
      <c r="C47" s="3">
        <v>4460</v>
      </c>
      <c r="D47" s="3">
        <v>98.6</v>
      </c>
      <c r="E47" s="3">
        <v>3.5</v>
      </c>
      <c r="F47">
        <v>0</v>
      </c>
    </row>
    <row r="48" spans="1:6">
      <c r="A48" s="3">
        <v>614800.09</v>
      </c>
      <c r="B48" s="3">
        <v>50043.65</v>
      </c>
      <c r="C48" s="3">
        <v>3804</v>
      </c>
      <c r="D48" s="3">
        <v>90.9</v>
      </c>
      <c r="E48" s="3">
        <v>3.2</v>
      </c>
      <c r="F48">
        <v>0</v>
      </c>
    </row>
    <row r="49" spans="1:6">
      <c r="A49" s="3">
        <v>585365.73</v>
      </c>
      <c r="B49" s="3">
        <v>42093.84</v>
      </c>
      <c r="C49" s="3">
        <v>4074</v>
      </c>
      <c r="D49" s="3">
        <v>88</v>
      </c>
      <c r="E49" s="3">
        <v>3.3</v>
      </c>
      <c r="F49">
        <v>0</v>
      </c>
    </row>
    <row r="50" spans="1:6">
      <c r="A50" s="3">
        <v>622811.74</v>
      </c>
      <c r="B50" s="3">
        <v>46624.05</v>
      </c>
      <c r="C50" s="3">
        <v>5104</v>
      </c>
      <c r="D50" s="3">
        <v>97.3</v>
      </c>
      <c r="E50" s="3">
        <v>4.7</v>
      </c>
      <c r="F50">
        <v>1</v>
      </c>
    </row>
    <row r="51" spans="1:6">
      <c r="A51" s="3">
        <v>603297.56999999995</v>
      </c>
      <c r="B51" s="3">
        <v>49710.29</v>
      </c>
      <c r="C51" s="3">
        <v>5559</v>
      </c>
      <c r="D51" s="3">
        <v>71</v>
      </c>
      <c r="E51" s="3">
        <v>4.5999999999999996</v>
      </c>
      <c r="F51">
        <v>1</v>
      </c>
    </row>
    <row r="52" spans="1:6">
      <c r="A52" s="3">
        <v>625672.86</v>
      </c>
      <c r="B52" s="3">
        <v>48287.85</v>
      </c>
      <c r="C52" s="3">
        <v>5150</v>
      </c>
      <c r="D52" s="3">
        <v>80.400000000000006</v>
      </c>
      <c r="E52" s="3">
        <v>4.5</v>
      </c>
      <c r="F52">
        <v>1</v>
      </c>
    </row>
    <row r="53" spans="1:6">
      <c r="A53" s="3">
        <v>773815.14</v>
      </c>
      <c r="B53" s="3">
        <v>65312.49</v>
      </c>
      <c r="C53" s="3">
        <v>7189</v>
      </c>
      <c r="D53" s="3">
        <v>93.7</v>
      </c>
      <c r="E53" s="3">
        <v>4.5999999999999996</v>
      </c>
      <c r="F53">
        <v>1</v>
      </c>
    </row>
    <row r="54" spans="1:6">
      <c r="A54" s="3">
        <v>463534.25</v>
      </c>
      <c r="B54" s="3">
        <v>53015.46</v>
      </c>
      <c r="C54" s="3">
        <v>3279</v>
      </c>
      <c r="D54" s="3">
        <v>84.3</v>
      </c>
      <c r="E54" s="3">
        <v>3.9</v>
      </c>
      <c r="F54">
        <v>0</v>
      </c>
    </row>
    <row r="55" spans="1:6">
      <c r="A55" s="3">
        <v>746677.75</v>
      </c>
      <c r="B55" s="3">
        <v>99874.01</v>
      </c>
      <c r="C55" s="3">
        <v>5887</v>
      </c>
      <c r="D55" s="3">
        <v>88.7</v>
      </c>
      <c r="E55" s="3">
        <v>4.7</v>
      </c>
      <c r="F55">
        <v>0</v>
      </c>
    </row>
    <row r="56" spans="1:6">
      <c r="A56" s="3">
        <v>720852.5</v>
      </c>
      <c r="B56" s="3">
        <v>81195.5</v>
      </c>
      <c r="C56" s="3">
        <v>5516</v>
      </c>
      <c r="D56" s="3">
        <v>88</v>
      </c>
      <c r="E56" s="3">
        <v>4.3</v>
      </c>
      <c r="F56">
        <v>0</v>
      </c>
    </row>
    <row r="57" spans="1:6">
      <c r="A57" s="3">
        <v>487464.91</v>
      </c>
      <c r="B57" s="3">
        <v>27808.6</v>
      </c>
      <c r="C57" s="3">
        <v>2863</v>
      </c>
      <c r="D57" s="3">
        <v>89.3</v>
      </c>
      <c r="E57" s="3">
        <v>4.0999999999999996</v>
      </c>
      <c r="F57">
        <v>0</v>
      </c>
    </row>
    <row r="58" spans="1:6">
      <c r="A58" s="3">
        <v>518049.26</v>
      </c>
      <c r="B58" s="3">
        <v>19365.060000000001</v>
      </c>
      <c r="C58" s="3">
        <v>2378</v>
      </c>
      <c r="D58" s="3">
        <v>94.8</v>
      </c>
      <c r="E58" s="3">
        <v>3.5</v>
      </c>
      <c r="F58">
        <v>0</v>
      </c>
    </row>
    <row r="59" spans="1:6">
      <c r="A59" s="3">
        <v>500298.48</v>
      </c>
      <c r="B59" s="3">
        <v>59405.68</v>
      </c>
      <c r="C59" s="3">
        <v>2515</v>
      </c>
      <c r="D59" s="3">
        <v>76</v>
      </c>
      <c r="E59" s="3">
        <v>3.7</v>
      </c>
      <c r="F59">
        <v>0</v>
      </c>
    </row>
    <row r="60" spans="1:6">
      <c r="A60" s="3">
        <v>617291.15</v>
      </c>
      <c r="B60" s="3">
        <v>118910.48</v>
      </c>
      <c r="C60" s="3">
        <v>4022</v>
      </c>
      <c r="D60" s="3">
        <v>87.1</v>
      </c>
      <c r="E60" s="3">
        <v>3.1</v>
      </c>
      <c r="F60">
        <v>0</v>
      </c>
    </row>
    <row r="61" spans="1:6">
      <c r="A61" s="3">
        <v>553756.43000000005</v>
      </c>
      <c r="B61" s="3">
        <v>52952.12</v>
      </c>
      <c r="C61" s="3">
        <v>4377</v>
      </c>
      <c r="D61" s="3">
        <v>88.6</v>
      </c>
      <c r="E61" s="3">
        <v>3.1</v>
      </c>
      <c r="F61">
        <v>0</v>
      </c>
    </row>
    <row r="62" spans="1:6">
      <c r="A62" s="3">
        <v>749559.71</v>
      </c>
      <c r="B62" s="3">
        <v>74907.98</v>
      </c>
      <c r="C62" s="3">
        <v>5306</v>
      </c>
      <c r="D62" s="3">
        <v>95.6</v>
      </c>
      <c r="E62" s="3">
        <v>3.7</v>
      </c>
      <c r="F62">
        <v>0</v>
      </c>
    </row>
    <row r="63" spans="1:6">
      <c r="A63" s="3">
        <v>615966.48</v>
      </c>
      <c r="B63" s="3">
        <v>37284.660000000003</v>
      </c>
      <c r="C63" s="3">
        <v>3928</v>
      </c>
      <c r="D63" s="3">
        <v>86.5</v>
      </c>
      <c r="E63" s="3">
        <v>3.8</v>
      </c>
      <c r="F63">
        <v>0</v>
      </c>
    </row>
    <row r="64" spans="1:6">
      <c r="A64" s="3">
        <v>572011.19999999995</v>
      </c>
      <c r="B64" s="3">
        <v>50343.19</v>
      </c>
      <c r="C64" s="3">
        <v>3845</v>
      </c>
      <c r="D64" s="3">
        <v>88.7</v>
      </c>
      <c r="E64" s="3">
        <v>3.3</v>
      </c>
      <c r="F64">
        <v>0</v>
      </c>
    </row>
    <row r="65" spans="1:6">
      <c r="A65" s="3">
        <v>761860.19</v>
      </c>
      <c r="B65" s="3">
        <v>74954.47</v>
      </c>
      <c r="C65" s="3">
        <v>6620</v>
      </c>
      <c r="D65" s="3">
        <v>91.1</v>
      </c>
      <c r="E65" s="3">
        <v>3.5</v>
      </c>
      <c r="F65">
        <v>0</v>
      </c>
    </row>
    <row r="66" spans="1:6">
      <c r="A66" s="3">
        <v>784502.68</v>
      </c>
      <c r="B66" s="3">
        <v>70040.31</v>
      </c>
      <c r="C66" s="3">
        <v>9175</v>
      </c>
      <c r="D66" s="3">
        <v>95.1</v>
      </c>
      <c r="E66" s="3">
        <v>3.4</v>
      </c>
      <c r="F66">
        <v>0</v>
      </c>
    </row>
    <row r="67" spans="1:6">
      <c r="A67" s="3">
        <v>717141.55</v>
      </c>
      <c r="B67" s="3">
        <v>51148.69</v>
      </c>
      <c r="C67" s="3">
        <v>7940</v>
      </c>
      <c r="D67" s="3">
        <v>93.3</v>
      </c>
      <c r="E67" s="3">
        <v>3.6</v>
      </c>
      <c r="F67">
        <v>0</v>
      </c>
    </row>
    <row r="68" spans="1:6">
      <c r="A68" s="3">
        <v>685379.08</v>
      </c>
      <c r="B68" s="3">
        <v>79346.100000000006</v>
      </c>
      <c r="C68" s="3">
        <v>9628</v>
      </c>
      <c r="D68" s="3">
        <v>99</v>
      </c>
      <c r="E68" s="3">
        <v>3.2</v>
      </c>
      <c r="F68">
        <v>0</v>
      </c>
    </row>
    <row r="69" spans="1:6">
      <c r="A69" s="3">
        <v>740496.65</v>
      </c>
      <c r="B69" s="3">
        <v>42018.400000000001</v>
      </c>
      <c r="C69" s="3">
        <v>8296</v>
      </c>
      <c r="D69" s="3">
        <v>91.8</v>
      </c>
      <c r="E69" s="3">
        <v>3.4</v>
      </c>
      <c r="F69">
        <v>0</v>
      </c>
    </row>
    <row r="70" spans="1:6">
      <c r="A70" s="3">
        <v>661927.14</v>
      </c>
      <c r="B70" s="3">
        <v>70937.240000000005</v>
      </c>
      <c r="C70" s="3">
        <v>3595</v>
      </c>
      <c r="D70" s="3">
        <v>88.9</v>
      </c>
      <c r="E70" s="3">
        <v>3.3</v>
      </c>
      <c r="F70">
        <v>0</v>
      </c>
    </row>
    <row r="71" spans="1:6">
      <c r="A71" s="3">
        <v>479050.5</v>
      </c>
      <c r="B71" s="3">
        <v>36813.449999999997</v>
      </c>
      <c r="C71" s="3">
        <v>2834</v>
      </c>
      <c r="D71" s="3">
        <v>81.8</v>
      </c>
      <c r="E71" s="3">
        <v>3.3</v>
      </c>
      <c r="F71">
        <v>0</v>
      </c>
    </row>
    <row r="72" spans="1:6">
      <c r="A72" s="3">
        <v>605023.87</v>
      </c>
      <c r="B72" s="3">
        <v>60571.82</v>
      </c>
      <c r="C72" s="3">
        <v>3193</v>
      </c>
      <c r="D72" s="3">
        <v>99</v>
      </c>
      <c r="E72" s="3">
        <v>3.2</v>
      </c>
      <c r="F72">
        <v>0</v>
      </c>
    </row>
    <row r="73" spans="1:6">
      <c r="A73" s="3">
        <v>674774.09</v>
      </c>
      <c r="B73" s="3">
        <v>55081.16</v>
      </c>
      <c r="C73" s="3">
        <v>5485</v>
      </c>
      <c r="D73" s="3">
        <v>88</v>
      </c>
      <c r="E73" s="3">
        <v>3.5</v>
      </c>
      <c r="F73">
        <v>0</v>
      </c>
    </row>
    <row r="74" spans="1:6">
      <c r="A74" s="3">
        <v>616069.41</v>
      </c>
      <c r="B74" s="3">
        <v>46201.46</v>
      </c>
      <c r="C74" s="3">
        <v>5918</v>
      </c>
      <c r="D74" s="3">
        <v>78.8</v>
      </c>
      <c r="E74" s="3">
        <v>4.5</v>
      </c>
      <c r="F74">
        <v>0</v>
      </c>
    </row>
    <row r="75" spans="1:6">
      <c r="A75" s="3">
        <v>630829.93999999994</v>
      </c>
      <c r="B75" s="3">
        <v>53762.92</v>
      </c>
      <c r="C75" s="3">
        <v>6821</v>
      </c>
      <c r="D75" s="3">
        <v>94.6</v>
      </c>
      <c r="E75" s="3">
        <v>4.4000000000000004</v>
      </c>
      <c r="F75">
        <v>0</v>
      </c>
    </row>
    <row r="76" spans="1:6">
      <c r="A76" s="3">
        <v>788087.68</v>
      </c>
      <c r="B76" s="3">
        <v>70144.78</v>
      </c>
      <c r="C76" s="3">
        <v>6806</v>
      </c>
      <c r="D76" s="3">
        <v>93.1</v>
      </c>
      <c r="E76" s="3">
        <v>4.3</v>
      </c>
      <c r="F76">
        <v>0</v>
      </c>
    </row>
    <row r="77" spans="1:6">
      <c r="A77" s="3">
        <v>680840.36</v>
      </c>
      <c r="B77" s="3">
        <v>58749.63</v>
      </c>
      <c r="C77" s="3">
        <v>8252</v>
      </c>
      <c r="D77" s="3">
        <v>85.2</v>
      </c>
      <c r="E77" s="3">
        <v>4.5</v>
      </c>
      <c r="F77">
        <v>0</v>
      </c>
    </row>
    <row r="78" spans="1:6">
      <c r="A78" s="3">
        <v>643657.47</v>
      </c>
      <c r="B78" s="3">
        <v>56973.18</v>
      </c>
      <c r="C78" s="3">
        <v>6662</v>
      </c>
      <c r="D78" s="3">
        <v>77.7</v>
      </c>
      <c r="E78" s="3">
        <v>3.2</v>
      </c>
      <c r="F78">
        <v>0</v>
      </c>
    </row>
    <row r="79" spans="1:6">
      <c r="A79" s="3">
        <v>691112.6</v>
      </c>
      <c r="B79" s="3">
        <v>54872.82</v>
      </c>
      <c r="C79" s="3">
        <v>5962</v>
      </c>
      <c r="D79" s="3">
        <v>85.4</v>
      </c>
      <c r="E79" s="3">
        <v>2.9</v>
      </c>
      <c r="F79">
        <v>0</v>
      </c>
    </row>
    <row r="80" spans="1:6">
      <c r="A80" s="3">
        <v>776922.17</v>
      </c>
      <c r="B80" s="3">
        <v>80562.81</v>
      </c>
      <c r="C80" s="3">
        <v>7470</v>
      </c>
      <c r="D80" s="3">
        <v>83.5</v>
      </c>
      <c r="E80" s="3">
        <v>3.3</v>
      </c>
      <c r="F80">
        <v>0</v>
      </c>
    </row>
    <row r="81" spans="1:6">
      <c r="A81" s="3">
        <v>636561.34</v>
      </c>
      <c r="B81" s="3">
        <v>77999.899999999994</v>
      </c>
      <c r="C81" s="3">
        <v>5974</v>
      </c>
      <c r="D81" s="3">
        <v>81.3</v>
      </c>
      <c r="E81" s="3">
        <v>3.2</v>
      </c>
      <c r="F81">
        <v>0</v>
      </c>
    </row>
    <row r="82" spans="1:6">
      <c r="A82" s="3">
        <v>621369.57999999996</v>
      </c>
      <c r="B82" s="3">
        <v>60881.01</v>
      </c>
      <c r="C82" s="3">
        <v>5410</v>
      </c>
      <c r="D82" s="3">
        <v>83.9</v>
      </c>
      <c r="E82" s="3">
        <v>4.5999999999999996</v>
      </c>
      <c r="F82">
        <v>0</v>
      </c>
    </row>
    <row r="83" spans="1:6">
      <c r="A83" s="3">
        <v>682208.01</v>
      </c>
      <c r="B83" s="3">
        <v>60628.38</v>
      </c>
      <c r="C83" s="3">
        <v>4451</v>
      </c>
      <c r="D83" s="3">
        <v>89.6</v>
      </c>
      <c r="E83" s="3">
        <v>4.5999999999999996</v>
      </c>
      <c r="F83">
        <v>0</v>
      </c>
    </row>
    <row r="84" spans="1:6">
      <c r="A84" s="3">
        <v>727241.86</v>
      </c>
      <c r="B84" s="3">
        <v>72731.14</v>
      </c>
      <c r="C84" s="3">
        <v>4644</v>
      </c>
      <c r="D84" s="3">
        <v>87.1</v>
      </c>
      <c r="E84" s="3">
        <v>4.5999999999999996</v>
      </c>
      <c r="F84">
        <v>0</v>
      </c>
    </row>
    <row r="85" spans="1:6">
      <c r="A85" s="3">
        <v>569100.78</v>
      </c>
      <c r="B85" s="3">
        <v>36475.71</v>
      </c>
      <c r="C85" s="3">
        <v>3559</v>
      </c>
      <c r="D85" s="3">
        <v>83.6</v>
      </c>
      <c r="E85" s="3">
        <v>4.2</v>
      </c>
      <c r="F85">
        <v>0</v>
      </c>
    </row>
    <row r="86" spans="1:6">
      <c r="A86" s="3">
        <v>574436.29</v>
      </c>
      <c r="B86" s="3">
        <v>55388.11</v>
      </c>
      <c r="C86" s="3">
        <v>3091</v>
      </c>
      <c r="D86" s="3">
        <v>85.4</v>
      </c>
      <c r="E86" s="3">
        <v>4.9000000000000004</v>
      </c>
      <c r="F86">
        <v>0</v>
      </c>
    </row>
    <row r="87" spans="1:6">
      <c r="A87" s="3">
        <v>611766.72</v>
      </c>
      <c r="B87" s="3">
        <v>88443.77</v>
      </c>
      <c r="C87" s="3">
        <v>4004</v>
      </c>
      <c r="D87" s="3">
        <v>91.9</v>
      </c>
      <c r="E87" s="3">
        <v>3.92</v>
      </c>
      <c r="F87">
        <v>0</v>
      </c>
    </row>
    <row r="88" spans="1:6">
      <c r="A88" s="3">
        <v>614596.31999999995</v>
      </c>
      <c r="B88" s="3">
        <v>78231.91</v>
      </c>
      <c r="C88" s="3">
        <v>3788</v>
      </c>
      <c r="D88" s="3">
        <v>88.5</v>
      </c>
      <c r="E88" s="3">
        <v>4.3</v>
      </c>
      <c r="F88">
        <v>0</v>
      </c>
    </row>
    <row r="89" spans="1:6">
      <c r="A89" s="3">
        <v>450711.92</v>
      </c>
      <c r="B89" s="3">
        <v>18996.32</v>
      </c>
      <c r="C89" s="3">
        <v>1260</v>
      </c>
      <c r="D89" s="3">
        <v>86.4</v>
      </c>
      <c r="E89" s="3">
        <v>4.5999999999999996</v>
      </c>
      <c r="F89">
        <v>0</v>
      </c>
    </row>
    <row r="90" spans="1:6">
      <c r="A90" s="3">
        <v>711213.46</v>
      </c>
      <c r="B90" s="3">
        <v>50517.94</v>
      </c>
      <c r="C90" s="3">
        <v>7024</v>
      </c>
      <c r="D90" s="3">
        <v>79.2</v>
      </c>
      <c r="E90" s="3">
        <v>4.0999999999999996</v>
      </c>
      <c r="F90">
        <v>0</v>
      </c>
    </row>
    <row r="91" spans="1:6">
      <c r="A91" s="3">
        <v>627171.9</v>
      </c>
      <c r="B91" s="3">
        <v>141540.29</v>
      </c>
      <c r="C91" s="3">
        <v>5400</v>
      </c>
      <c r="D91" s="3">
        <v>87</v>
      </c>
      <c r="E91" s="3">
        <v>4.5</v>
      </c>
      <c r="F91">
        <v>0</v>
      </c>
    </row>
    <row r="92" spans="1:6">
      <c r="A92" s="3">
        <v>739852.58</v>
      </c>
      <c r="B92" s="3">
        <v>82116.19</v>
      </c>
      <c r="C92" s="3">
        <v>5988</v>
      </c>
      <c r="D92" s="3">
        <v>91.8</v>
      </c>
      <c r="E92" s="3">
        <v>4.7</v>
      </c>
      <c r="F92">
        <v>0</v>
      </c>
    </row>
    <row r="93" spans="1:6">
      <c r="A93" s="3">
        <v>586307.22</v>
      </c>
      <c r="B93" s="3">
        <v>31207.51</v>
      </c>
      <c r="C93" s="3">
        <v>3701</v>
      </c>
      <c r="D93" s="3">
        <v>84.7</v>
      </c>
      <c r="E93" s="3">
        <v>4.3</v>
      </c>
      <c r="F93">
        <v>0</v>
      </c>
    </row>
    <row r="94" spans="1:6">
      <c r="A94" s="3">
        <v>585937.48</v>
      </c>
      <c r="B94" s="3">
        <v>38966.589999999997</v>
      </c>
      <c r="C94" s="3">
        <v>4509</v>
      </c>
      <c r="D94" s="3">
        <v>91.1</v>
      </c>
      <c r="E94" s="3">
        <v>4.5999999999999996</v>
      </c>
      <c r="F94">
        <v>0</v>
      </c>
    </row>
    <row r="95" spans="1:6">
      <c r="A95" s="3">
        <v>753473.55</v>
      </c>
      <c r="B95" s="3">
        <v>67439.3</v>
      </c>
      <c r="C95" s="3">
        <v>6477</v>
      </c>
      <c r="D95" s="3">
        <v>90.9</v>
      </c>
      <c r="E95" s="3">
        <v>4.5</v>
      </c>
      <c r="F95">
        <v>0</v>
      </c>
    </row>
    <row r="96" spans="1:6">
      <c r="A96" s="3">
        <v>838250.32</v>
      </c>
      <c r="B96" s="3">
        <v>86421.88</v>
      </c>
      <c r="C96" s="3">
        <v>7970</v>
      </c>
      <c r="D96" s="3">
        <v>91.3</v>
      </c>
      <c r="E96" s="3">
        <v>5</v>
      </c>
      <c r="F96">
        <v>0</v>
      </c>
    </row>
    <row r="97" spans="1:6">
      <c r="A97" s="3">
        <v>607898.12</v>
      </c>
      <c r="B97" s="3">
        <v>9534.65</v>
      </c>
      <c r="C97" s="3">
        <v>6057</v>
      </c>
      <c r="D97" s="3">
        <v>94.1</v>
      </c>
      <c r="E97" s="3">
        <v>4.5</v>
      </c>
      <c r="F97">
        <v>0</v>
      </c>
    </row>
    <row r="98" spans="1:6">
      <c r="A98" s="3">
        <v>691113.62</v>
      </c>
      <c r="B98" s="3">
        <v>61132.07</v>
      </c>
      <c r="C98" s="3">
        <v>6394</v>
      </c>
      <c r="D98" s="3">
        <v>91</v>
      </c>
      <c r="E98" s="3">
        <v>4.4000000000000004</v>
      </c>
      <c r="F98">
        <v>0</v>
      </c>
    </row>
    <row r="99" spans="1:6">
      <c r="A99" s="3">
        <v>735509.4</v>
      </c>
      <c r="B99" s="3">
        <v>78839.39</v>
      </c>
      <c r="C99" s="3">
        <v>5150</v>
      </c>
      <c r="D99" s="3">
        <v>85.8</v>
      </c>
      <c r="E99" s="3">
        <v>4.3</v>
      </c>
      <c r="F99">
        <v>0</v>
      </c>
    </row>
    <row r="100" spans="1:6">
      <c r="A100" s="3">
        <v>605775.32999999996</v>
      </c>
      <c r="B100" s="3">
        <v>38752.800000000003</v>
      </c>
      <c r="C100" s="3">
        <v>4712</v>
      </c>
      <c r="D100" s="3">
        <v>89.7</v>
      </c>
      <c r="E100" s="3">
        <v>4.3</v>
      </c>
      <c r="F100">
        <v>0</v>
      </c>
    </row>
    <row r="101" spans="1:6">
      <c r="A101" s="3">
        <v>675177.68</v>
      </c>
      <c r="B101" s="3">
        <v>55101.1</v>
      </c>
      <c r="C101" s="3">
        <v>5281</v>
      </c>
      <c r="D101" s="3">
        <v>91</v>
      </c>
      <c r="E101" s="3">
        <v>4.4000000000000004</v>
      </c>
      <c r="F101">
        <v>0</v>
      </c>
    </row>
    <row r="102" spans="1:6">
      <c r="A102" s="3">
        <v>635181.35</v>
      </c>
      <c r="B102" s="3">
        <v>53084.76</v>
      </c>
      <c r="C102" s="3">
        <v>3642</v>
      </c>
      <c r="D102" s="3">
        <v>91.4</v>
      </c>
      <c r="E102" s="3">
        <v>4.4000000000000004</v>
      </c>
      <c r="F102">
        <v>0</v>
      </c>
    </row>
    <row r="103" spans="1:6">
      <c r="A103" s="3">
        <v>586626.93999999994</v>
      </c>
      <c r="B103" s="3">
        <v>63101.59</v>
      </c>
      <c r="C103" s="3">
        <v>4373</v>
      </c>
      <c r="D103" s="3">
        <v>90.4</v>
      </c>
      <c r="E103" s="3">
        <v>4.7</v>
      </c>
      <c r="F103">
        <v>0</v>
      </c>
    </row>
    <row r="104" spans="1:6">
      <c r="A104" s="3">
        <v>740102.64</v>
      </c>
      <c r="B104" s="3">
        <v>90084.4</v>
      </c>
      <c r="C104" s="3">
        <v>6832</v>
      </c>
      <c r="D104" s="3">
        <v>80.5</v>
      </c>
      <c r="E104" s="3">
        <v>4.4000000000000004</v>
      </c>
      <c r="F104">
        <v>0</v>
      </c>
    </row>
    <row r="105" spans="1:6">
      <c r="A105" s="3">
        <v>625514.04</v>
      </c>
      <c r="B105" s="3">
        <v>32266.639999999999</v>
      </c>
      <c r="C105" s="3">
        <v>2414</v>
      </c>
      <c r="D105" s="3">
        <v>92.1</v>
      </c>
      <c r="E105" s="3">
        <v>5</v>
      </c>
      <c r="F105">
        <v>0</v>
      </c>
    </row>
    <row r="106" spans="1:6">
      <c r="A106" s="3">
        <v>727227.2</v>
      </c>
      <c r="B106" s="3">
        <v>57919.07</v>
      </c>
      <c r="C106" s="3">
        <v>7374</v>
      </c>
      <c r="D106" s="3">
        <v>82.3</v>
      </c>
      <c r="E106" s="3">
        <v>2.9</v>
      </c>
      <c r="F106">
        <v>0</v>
      </c>
    </row>
    <row r="107" spans="1:6">
      <c r="A107" s="3">
        <v>783797.89</v>
      </c>
      <c r="B107" s="3">
        <v>74679.350000000006</v>
      </c>
      <c r="C107" s="3">
        <v>8739</v>
      </c>
      <c r="D107" s="3">
        <v>91.8</v>
      </c>
      <c r="E107" s="3">
        <v>3</v>
      </c>
      <c r="F107">
        <v>0</v>
      </c>
    </row>
    <row r="108" spans="1:6">
      <c r="A108" s="3">
        <v>795153.84</v>
      </c>
      <c r="B108" s="3">
        <v>64294.23</v>
      </c>
      <c r="C108" s="3">
        <v>6992</v>
      </c>
      <c r="D108" s="3">
        <v>94.1</v>
      </c>
      <c r="E108" s="3">
        <v>3</v>
      </c>
      <c r="F108">
        <v>0</v>
      </c>
    </row>
    <row r="109" spans="1:6">
      <c r="A109" s="3">
        <v>665594.93999999994</v>
      </c>
      <c r="B109" s="3">
        <v>31042.03</v>
      </c>
      <c r="C109" s="3">
        <v>7107</v>
      </c>
      <c r="D109" s="3">
        <v>87</v>
      </c>
      <c r="E109" s="3">
        <v>3.2</v>
      </c>
      <c r="F109">
        <v>0</v>
      </c>
    </row>
    <row r="110" spans="1:6">
      <c r="A110" s="3">
        <v>709478.39</v>
      </c>
      <c r="B110" s="3">
        <v>75265.02</v>
      </c>
      <c r="C110" s="3">
        <v>6975</v>
      </c>
      <c r="D110" s="3">
        <v>73.8</v>
      </c>
      <c r="E110" s="3">
        <v>3.8</v>
      </c>
      <c r="F110">
        <v>0</v>
      </c>
    </row>
    <row r="111" spans="1:6">
      <c r="A111" s="3">
        <v>664162.49</v>
      </c>
      <c r="B111" s="3">
        <v>69411.7</v>
      </c>
      <c r="C111" s="3">
        <v>5493</v>
      </c>
      <c r="D111" s="3">
        <v>86.5</v>
      </c>
      <c r="E111" s="3">
        <v>3.8</v>
      </c>
      <c r="F111">
        <v>0</v>
      </c>
    </row>
    <row r="112" spans="1:6">
      <c r="A112" s="3">
        <v>633494.21</v>
      </c>
      <c r="B112" s="3">
        <v>51056.15</v>
      </c>
      <c r="C112" s="3">
        <v>5686</v>
      </c>
      <c r="D112" s="3">
        <v>89.9</v>
      </c>
      <c r="E112" s="3">
        <v>4.2</v>
      </c>
      <c r="F112">
        <v>0</v>
      </c>
    </row>
    <row r="113" spans="1:6">
      <c r="A113" s="3">
        <v>713611.16</v>
      </c>
      <c r="B113" s="3">
        <v>52758.01</v>
      </c>
      <c r="C113" s="3">
        <v>4063</v>
      </c>
      <c r="D113" s="3">
        <v>91.7</v>
      </c>
      <c r="E113" s="3">
        <v>3.5</v>
      </c>
      <c r="F113">
        <v>0</v>
      </c>
    </row>
    <row r="114" spans="1:6">
      <c r="A114" s="3">
        <v>778397.97</v>
      </c>
      <c r="B114" s="3">
        <v>61426.04</v>
      </c>
      <c r="C114" s="3">
        <v>8966</v>
      </c>
      <c r="D114" s="3">
        <v>76.400000000000006</v>
      </c>
      <c r="E114" s="3">
        <v>3.1</v>
      </c>
      <c r="F114">
        <v>0</v>
      </c>
    </row>
    <row r="115" spans="1:6">
      <c r="A115" s="3">
        <v>873380.02</v>
      </c>
      <c r="B115" s="3">
        <v>80176.34</v>
      </c>
      <c r="C115" s="3">
        <v>9489</v>
      </c>
      <c r="D115" s="3">
        <v>94.3</v>
      </c>
      <c r="E115" s="3">
        <v>3.5</v>
      </c>
      <c r="F115">
        <v>0</v>
      </c>
    </row>
    <row r="116" spans="1:6">
      <c r="A116" s="3">
        <v>697287.9</v>
      </c>
      <c r="B116" s="3">
        <v>33605.18</v>
      </c>
      <c r="C116" s="3">
        <v>9225</v>
      </c>
      <c r="D116" s="3">
        <v>88.4</v>
      </c>
      <c r="E116" s="3">
        <v>2.8</v>
      </c>
      <c r="F116">
        <v>0</v>
      </c>
    </row>
    <row r="117" spans="1:6">
      <c r="A117" s="3">
        <v>718074.79</v>
      </c>
      <c r="B117" s="3">
        <v>25990.54</v>
      </c>
      <c r="C117" s="3">
        <v>9249</v>
      </c>
      <c r="D117" s="3">
        <v>92.5</v>
      </c>
      <c r="E117" s="3">
        <v>3.3</v>
      </c>
      <c r="F117">
        <v>0</v>
      </c>
    </row>
    <row r="118" spans="1:6">
      <c r="A118" s="3">
        <v>714942.43</v>
      </c>
      <c r="B118" s="3">
        <v>43685.14</v>
      </c>
      <c r="C118" s="3">
        <v>7821</v>
      </c>
      <c r="D118" s="3">
        <v>91</v>
      </c>
      <c r="E118" s="3">
        <v>4.7</v>
      </c>
      <c r="F118">
        <v>0</v>
      </c>
    </row>
    <row r="119" spans="1:6">
      <c r="A119" s="3">
        <v>820519.04</v>
      </c>
      <c r="B119" s="3">
        <v>57360.01</v>
      </c>
      <c r="C119" s="3">
        <v>8434</v>
      </c>
      <c r="D119" s="3">
        <v>84.1</v>
      </c>
      <c r="E119" s="3">
        <v>4.7</v>
      </c>
      <c r="F119">
        <v>0</v>
      </c>
    </row>
    <row r="120" spans="1:6">
      <c r="A120" s="3">
        <v>684217.32</v>
      </c>
      <c r="B120" s="3">
        <v>42415.47</v>
      </c>
      <c r="C120" s="3">
        <v>8512</v>
      </c>
      <c r="D120" s="3">
        <v>96.8</v>
      </c>
      <c r="E120" s="3">
        <v>4.5999999999999996</v>
      </c>
      <c r="F120">
        <v>0</v>
      </c>
    </row>
    <row r="121" spans="1:6">
      <c r="A121" s="3">
        <v>735480.19</v>
      </c>
      <c r="B121" s="3">
        <v>54968.98</v>
      </c>
      <c r="C121" s="3">
        <v>7816</v>
      </c>
      <c r="D121" s="3">
        <v>95.7</v>
      </c>
      <c r="E121" s="3">
        <v>4.7</v>
      </c>
      <c r="F121">
        <v>0</v>
      </c>
    </row>
    <row r="122" spans="1:6">
      <c r="A122" s="3">
        <v>509484.81</v>
      </c>
      <c r="B122" s="3">
        <v>43896.13</v>
      </c>
      <c r="C122" s="3">
        <v>3853</v>
      </c>
      <c r="D122" s="3">
        <v>83</v>
      </c>
      <c r="E122" s="3">
        <v>4.4000000000000004</v>
      </c>
      <c r="F122">
        <v>1</v>
      </c>
    </row>
    <row r="123" spans="1:6">
      <c r="A123" s="3">
        <v>654317.09</v>
      </c>
      <c r="B123" s="3">
        <v>83044.17</v>
      </c>
      <c r="C123" s="3">
        <v>3694</v>
      </c>
      <c r="D123" s="3">
        <v>89.4</v>
      </c>
      <c r="E123" s="3">
        <v>3.7</v>
      </c>
      <c r="F123">
        <v>1</v>
      </c>
    </row>
    <row r="124" spans="1:6">
      <c r="A124" s="3">
        <v>557487.26</v>
      </c>
      <c r="B124" s="3">
        <v>48396.13</v>
      </c>
      <c r="C124" s="3">
        <v>4423</v>
      </c>
      <c r="D124" s="3">
        <v>85.7</v>
      </c>
      <c r="E124" s="3">
        <v>3.9</v>
      </c>
      <c r="F124">
        <v>1</v>
      </c>
    </row>
    <row r="125" spans="1:6">
      <c r="A125" s="3">
        <v>441275.42</v>
      </c>
      <c r="B125" s="3">
        <v>19063.48</v>
      </c>
      <c r="C125" s="3">
        <v>1906</v>
      </c>
      <c r="D125" s="3">
        <v>97.8</v>
      </c>
      <c r="E125" s="3">
        <v>4.4000000000000004</v>
      </c>
      <c r="F125">
        <v>1</v>
      </c>
    </row>
    <row r="126" spans="1:6">
      <c r="A126" s="3">
        <v>914544.17</v>
      </c>
      <c r="B126" s="3">
        <v>61541.21</v>
      </c>
      <c r="C126" s="3">
        <v>10396</v>
      </c>
      <c r="D126" s="3">
        <v>88.1</v>
      </c>
      <c r="E126" s="3">
        <v>4.8</v>
      </c>
      <c r="F126">
        <v>0</v>
      </c>
    </row>
    <row r="127" spans="1:6">
      <c r="A127" s="3">
        <v>842439.67</v>
      </c>
      <c r="B127" s="3">
        <v>44747</v>
      </c>
      <c r="C127" s="3">
        <v>11076</v>
      </c>
      <c r="D127" s="3">
        <v>98.3</v>
      </c>
      <c r="E127" s="3">
        <v>4.4000000000000004</v>
      </c>
      <c r="F127">
        <v>0</v>
      </c>
    </row>
    <row r="128" spans="1:6">
      <c r="A128" s="3">
        <v>842157.92</v>
      </c>
      <c r="B128" s="3">
        <v>56517.9</v>
      </c>
      <c r="C128" s="3">
        <v>9574</v>
      </c>
      <c r="D128" s="3">
        <v>88.2</v>
      </c>
      <c r="E128" s="3">
        <v>4.9000000000000004</v>
      </c>
      <c r="F128">
        <v>0</v>
      </c>
    </row>
    <row r="129" spans="1:6">
      <c r="A129" s="3">
        <v>697155.3</v>
      </c>
      <c r="B129" s="3">
        <v>37828.5</v>
      </c>
      <c r="C129" s="3">
        <v>8221</v>
      </c>
      <c r="D129" s="3">
        <v>81.5</v>
      </c>
      <c r="E129" s="3">
        <v>4.8</v>
      </c>
      <c r="F129">
        <v>0</v>
      </c>
    </row>
    <row r="130" spans="1:6">
      <c r="A130" s="3">
        <v>849018.3</v>
      </c>
      <c r="B130" s="3">
        <v>66250.53</v>
      </c>
      <c r="C130" s="3">
        <v>10618</v>
      </c>
      <c r="D130" s="3">
        <v>88.3</v>
      </c>
      <c r="E130" s="3">
        <v>4.4000000000000004</v>
      </c>
      <c r="F130">
        <v>0</v>
      </c>
    </row>
    <row r="131" spans="1:6">
      <c r="A131" s="3">
        <v>801830.35</v>
      </c>
      <c r="B131" s="3">
        <v>68410.929999999993</v>
      </c>
      <c r="C131" s="3">
        <v>10596</v>
      </c>
      <c r="D131" s="3">
        <v>81.2</v>
      </c>
      <c r="E131" s="3">
        <v>4</v>
      </c>
      <c r="F131">
        <v>0</v>
      </c>
    </row>
    <row r="132" spans="1:6">
      <c r="A132" s="3">
        <v>725235.28</v>
      </c>
      <c r="B132" s="3">
        <v>50735.63</v>
      </c>
      <c r="C132" s="3">
        <v>9619</v>
      </c>
      <c r="D132" s="3">
        <v>93.8</v>
      </c>
      <c r="E132" s="3">
        <v>4.5</v>
      </c>
      <c r="F132">
        <v>0</v>
      </c>
    </row>
    <row r="133" spans="1:6">
      <c r="A133" s="3">
        <v>811452.72</v>
      </c>
      <c r="B133" s="3">
        <v>66455.8</v>
      </c>
      <c r="C133" s="3">
        <v>10836</v>
      </c>
      <c r="D133" s="3">
        <v>85</v>
      </c>
      <c r="E133" s="3">
        <v>4.5</v>
      </c>
      <c r="F133">
        <v>0</v>
      </c>
    </row>
    <row r="134" spans="1:6">
      <c r="A134" s="3">
        <v>527300.13</v>
      </c>
      <c r="B134" s="3">
        <v>70276.28</v>
      </c>
      <c r="C134" s="3">
        <v>3043</v>
      </c>
      <c r="D134" s="3">
        <v>87.9</v>
      </c>
      <c r="E134" s="3">
        <v>4.4000000000000004</v>
      </c>
      <c r="F134">
        <v>1</v>
      </c>
    </row>
    <row r="135" spans="1:6">
      <c r="A135" s="3">
        <v>400831.65</v>
      </c>
      <c r="B135" s="3">
        <v>22071.64</v>
      </c>
      <c r="C135" s="3">
        <v>1814</v>
      </c>
      <c r="D135" s="3">
        <v>81.099999999999994</v>
      </c>
      <c r="E135" s="3">
        <v>3.92</v>
      </c>
      <c r="F135">
        <v>1</v>
      </c>
    </row>
    <row r="136" spans="1:6">
      <c r="A136" s="3">
        <v>593247.25</v>
      </c>
      <c r="B136" s="3">
        <v>52285.45</v>
      </c>
      <c r="C136" s="3">
        <v>3618</v>
      </c>
      <c r="D136" s="3">
        <v>95.6</v>
      </c>
      <c r="E136" s="3">
        <v>4.4000000000000004</v>
      </c>
      <c r="F136">
        <v>1</v>
      </c>
    </row>
    <row r="137" spans="1:6">
      <c r="A137" s="3">
        <v>529075.94999999995</v>
      </c>
      <c r="B137" s="3">
        <v>70366.759999999995</v>
      </c>
      <c r="C137" s="3">
        <v>1963</v>
      </c>
      <c r="D137" s="3">
        <v>89.8</v>
      </c>
      <c r="E137" s="3">
        <v>4.5999999999999996</v>
      </c>
      <c r="F137">
        <v>1</v>
      </c>
    </row>
    <row r="138" spans="1:6">
      <c r="A138" s="3">
        <v>633638.03</v>
      </c>
      <c r="B138" s="3">
        <v>71320.66</v>
      </c>
      <c r="C138" s="3">
        <v>7888</v>
      </c>
      <c r="D138" s="3">
        <v>78.099999999999994</v>
      </c>
      <c r="E138" s="3">
        <v>3.92</v>
      </c>
      <c r="F138">
        <v>0</v>
      </c>
    </row>
    <row r="139" spans="1:6">
      <c r="A139" s="3">
        <v>743348.84</v>
      </c>
      <c r="B139" s="3">
        <v>75109.67</v>
      </c>
      <c r="C139" s="3">
        <v>6244</v>
      </c>
      <c r="D139" s="3">
        <v>96.3</v>
      </c>
      <c r="E139" s="3">
        <v>3.7</v>
      </c>
      <c r="F139">
        <v>0</v>
      </c>
    </row>
    <row r="140" spans="1:6">
      <c r="A140" s="3">
        <v>758827.64</v>
      </c>
      <c r="B140" s="3">
        <v>69779</v>
      </c>
      <c r="C140" s="3">
        <v>6544</v>
      </c>
      <c r="D140" s="3">
        <v>90.2</v>
      </c>
      <c r="E140" s="3">
        <v>3.3</v>
      </c>
      <c r="F140">
        <v>0</v>
      </c>
    </row>
    <row r="141" spans="1:6">
      <c r="A141" s="3">
        <v>646559.71</v>
      </c>
      <c r="B141" s="3">
        <v>44211.95</v>
      </c>
      <c r="C141" s="3">
        <v>5465</v>
      </c>
      <c r="D141" s="3">
        <v>90</v>
      </c>
      <c r="E141" s="3">
        <v>3.6</v>
      </c>
      <c r="F141">
        <v>0</v>
      </c>
    </row>
    <row r="142" spans="1:6">
      <c r="A142" s="3">
        <v>715890.53</v>
      </c>
      <c r="B142" s="3">
        <v>51430.31</v>
      </c>
      <c r="C142" s="3">
        <v>6427</v>
      </c>
      <c r="D142" s="3">
        <v>88.8</v>
      </c>
      <c r="E142" s="3">
        <v>4.0999999999999996</v>
      </c>
      <c r="F142">
        <v>0</v>
      </c>
    </row>
    <row r="143" spans="1:6">
      <c r="A143" s="3">
        <v>715097.57</v>
      </c>
      <c r="B143" s="3">
        <v>45706.49</v>
      </c>
      <c r="C143" s="3">
        <v>6704</v>
      </c>
      <c r="D143" s="3">
        <v>94.2</v>
      </c>
      <c r="E143" s="3">
        <v>4.2</v>
      </c>
      <c r="F143">
        <v>0</v>
      </c>
    </row>
    <row r="144" spans="1:6">
      <c r="A144" s="3">
        <v>682639.28</v>
      </c>
      <c r="B144" s="3">
        <v>44034.6</v>
      </c>
      <c r="C144" s="3">
        <v>5645</v>
      </c>
      <c r="D144" s="3">
        <v>88.5</v>
      </c>
      <c r="E144" s="3">
        <v>3.8</v>
      </c>
      <c r="F144">
        <v>0</v>
      </c>
    </row>
    <row r="145" spans="1:6">
      <c r="A145" s="3">
        <v>695098.51</v>
      </c>
      <c r="B145" s="3">
        <v>50198.12</v>
      </c>
      <c r="C145" s="3">
        <v>6089</v>
      </c>
      <c r="D145" s="3">
        <v>94</v>
      </c>
      <c r="E145" s="3">
        <v>3.9</v>
      </c>
      <c r="F145">
        <v>0</v>
      </c>
    </row>
    <row r="146" spans="1:6">
      <c r="A146" s="3">
        <v>577732.56999999995</v>
      </c>
      <c r="B146" s="3">
        <v>70488.2</v>
      </c>
      <c r="C146" s="3">
        <v>4312</v>
      </c>
      <c r="D146" s="3">
        <v>90.2</v>
      </c>
      <c r="E146" s="3">
        <v>3.2</v>
      </c>
      <c r="F146">
        <v>1</v>
      </c>
    </row>
    <row r="147" spans="1:6">
      <c r="A147" s="3">
        <v>537058.32999999996</v>
      </c>
      <c r="B147" s="3">
        <v>50909.27</v>
      </c>
      <c r="C147" s="3">
        <v>3152</v>
      </c>
      <c r="D147" s="3">
        <v>93.7</v>
      </c>
      <c r="E147" s="3">
        <v>3.5</v>
      </c>
      <c r="F147">
        <v>1</v>
      </c>
    </row>
    <row r="148" spans="1:6">
      <c r="A148" s="3">
        <v>601568.87</v>
      </c>
      <c r="B148" s="3">
        <v>53351.7</v>
      </c>
      <c r="C148" s="3">
        <v>4259</v>
      </c>
      <c r="D148" s="3">
        <v>93.7</v>
      </c>
      <c r="E148" s="3">
        <v>3.4</v>
      </c>
      <c r="F148">
        <v>1</v>
      </c>
    </row>
    <row r="149" spans="1:6">
      <c r="A149" s="3">
        <v>570964.84</v>
      </c>
      <c r="B149" s="3">
        <v>60322.400000000001</v>
      </c>
      <c r="C149" s="3">
        <v>3350</v>
      </c>
      <c r="D149" s="3">
        <v>89.4</v>
      </c>
      <c r="E149" s="3">
        <v>3.4</v>
      </c>
      <c r="F149">
        <v>1</v>
      </c>
    </row>
    <row r="150" spans="1:6">
      <c r="A150" s="3">
        <v>614024.91</v>
      </c>
      <c r="B150" s="3">
        <v>51575.68</v>
      </c>
      <c r="C150" s="3">
        <v>5329</v>
      </c>
      <c r="D150" s="3">
        <v>88.1</v>
      </c>
      <c r="E150" s="3">
        <v>3.8</v>
      </c>
      <c r="F150">
        <v>0</v>
      </c>
    </row>
    <row r="151" spans="1:6">
      <c r="A151" s="3">
        <v>712868.35</v>
      </c>
      <c r="B151" s="3">
        <v>43319.94</v>
      </c>
      <c r="C151" s="3">
        <v>6551</v>
      </c>
      <c r="D151" s="3">
        <v>99</v>
      </c>
      <c r="E151" s="3">
        <v>4.0999999999999996</v>
      </c>
      <c r="F151">
        <v>0</v>
      </c>
    </row>
    <row r="152" spans="1:6">
      <c r="A152" s="3">
        <v>696744.15</v>
      </c>
      <c r="B152" s="3">
        <v>47093.55</v>
      </c>
      <c r="C152" s="3">
        <v>5550</v>
      </c>
      <c r="D152" s="3">
        <v>95</v>
      </c>
      <c r="E152" s="3">
        <v>3.7</v>
      </c>
      <c r="F152">
        <v>0</v>
      </c>
    </row>
    <row r="153" spans="1:6">
      <c r="A153" s="3">
        <v>725847.99</v>
      </c>
      <c r="B153" s="3">
        <v>71855.09</v>
      </c>
      <c r="C153" s="3">
        <v>5911</v>
      </c>
      <c r="D153" s="3">
        <v>94.3</v>
      </c>
      <c r="E153" s="3">
        <v>4.0999999999999996</v>
      </c>
      <c r="F153">
        <v>0</v>
      </c>
    </row>
    <row r="154" spans="1:6">
      <c r="A154" s="3">
        <v>785028.25</v>
      </c>
      <c r="B154" s="3">
        <v>75645.23</v>
      </c>
      <c r="C154" s="3">
        <v>9674</v>
      </c>
      <c r="D154" s="3">
        <v>87.4</v>
      </c>
      <c r="E154" s="3">
        <v>4.5</v>
      </c>
      <c r="F154">
        <v>0</v>
      </c>
    </row>
    <row r="155" spans="1:6">
      <c r="A155" s="3">
        <v>698492.67</v>
      </c>
      <c r="B155" s="3">
        <v>64374.75</v>
      </c>
      <c r="C155" s="3">
        <v>6740</v>
      </c>
      <c r="D155" s="3">
        <v>87</v>
      </c>
      <c r="E155" s="3">
        <v>4.2</v>
      </c>
      <c r="F155">
        <v>0</v>
      </c>
    </row>
    <row r="156" spans="1:6">
      <c r="A156" s="3">
        <v>685830.24</v>
      </c>
      <c r="B156" s="3">
        <v>61433.84</v>
      </c>
      <c r="C156" s="3">
        <v>7745</v>
      </c>
      <c r="D156" s="3">
        <v>90.5</v>
      </c>
      <c r="E156" s="3">
        <v>4.2</v>
      </c>
      <c r="F156">
        <v>0</v>
      </c>
    </row>
    <row r="157" spans="1:6">
      <c r="A157" s="3">
        <v>702318.94</v>
      </c>
      <c r="B157" s="3">
        <v>42698.14</v>
      </c>
      <c r="C157" s="3">
        <v>7693</v>
      </c>
      <c r="D157" s="3">
        <v>90.1</v>
      </c>
      <c r="E157" s="3">
        <v>4.4000000000000004</v>
      </c>
      <c r="F157">
        <v>0</v>
      </c>
    </row>
    <row r="158" spans="1:6">
      <c r="A158" s="3">
        <v>700078.32</v>
      </c>
      <c r="B158" s="3">
        <v>86883.31</v>
      </c>
      <c r="C158" s="3">
        <v>6424</v>
      </c>
      <c r="D158" s="3">
        <v>85.2</v>
      </c>
      <c r="E158" s="3">
        <v>3.9</v>
      </c>
      <c r="F158">
        <v>1</v>
      </c>
    </row>
    <row r="159" spans="1:6">
      <c r="A159" s="3">
        <v>602002.31999999995</v>
      </c>
      <c r="B159" s="3">
        <v>41863.08</v>
      </c>
      <c r="C159" s="3">
        <v>5400</v>
      </c>
      <c r="D159" s="3">
        <v>91.6</v>
      </c>
      <c r="E159" s="3">
        <v>3</v>
      </c>
      <c r="F159">
        <v>1</v>
      </c>
    </row>
    <row r="160" spans="1:6">
      <c r="A160" s="3">
        <v>724216.07</v>
      </c>
      <c r="B160" s="3">
        <v>56918.16</v>
      </c>
      <c r="C160" s="3">
        <v>7015</v>
      </c>
      <c r="D160" s="3">
        <v>74.2</v>
      </c>
      <c r="E160" s="3">
        <v>3.4</v>
      </c>
      <c r="F160">
        <v>1</v>
      </c>
    </row>
    <row r="161" spans="1:6">
      <c r="A161" s="3">
        <v>620973.03</v>
      </c>
      <c r="B161" s="3">
        <v>23254.57</v>
      </c>
      <c r="C161" s="3">
        <v>3847</v>
      </c>
      <c r="D161" s="3">
        <v>93</v>
      </c>
      <c r="E161" s="3">
        <v>3.3</v>
      </c>
      <c r="F161">
        <v>1</v>
      </c>
    </row>
    <row r="162" spans="1:6">
      <c r="A162" s="3">
        <v>650480.06000000006</v>
      </c>
      <c r="B162" s="3">
        <v>41443.410000000003</v>
      </c>
      <c r="C162" s="3">
        <v>7455</v>
      </c>
      <c r="D162" s="3">
        <v>90.1</v>
      </c>
      <c r="E162" s="3">
        <v>4</v>
      </c>
      <c r="F162">
        <v>0</v>
      </c>
    </row>
    <row r="163" spans="1:6">
      <c r="A163" s="3">
        <v>778298.88</v>
      </c>
      <c r="B163" s="3">
        <v>48438.85</v>
      </c>
      <c r="C163" s="3">
        <v>6992</v>
      </c>
      <c r="D163" s="3">
        <v>91</v>
      </c>
      <c r="E163" s="3">
        <v>4.2</v>
      </c>
      <c r="F163">
        <v>0</v>
      </c>
    </row>
    <row r="164" spans="1:6">
      <c r="A164" s="3">
        <v>677096.71</v>
      </c>
      <c r="B164" s="3">
        <v>57143.3</v>
      </c>
      <c r="C164" s="3">
        <v>8038</v>
      </c>
      <c r="D164" s="3">
        <v>72.599999999999994</v>
      </c>
      <c r="E164" s="3">
        <v>4.2</v>
      </c>
      <c r="F164">
        <v>0</v>
      </c>
    </row>
    <row r="165" spans="1:6">
      <c r="A165" s="3">
        <v>692008.64</v>
      </c>
      <c r="B165" s="3">
        <v>66870.62</v>
      </c>
      <c r="C165" s="3">
        <v>6055</v>
      </c>
      <c r="D165" s="3">
        <v>93.8</v>
      </c>
      <c r="E165" s="3">
        <v>4.3</v>
      </c>
      <c r="F165">
        <v>0</v>
      </c>
    </row>
    <row r="166" spans="1:6">
      <c r="A166" s="3">
        <v>825797.91</v>
      </c>
      <c r="B166" s="3">
        <v>72150.53</v>
      </c>
      <c r="C166" s="3">
        <v>9323</v>
      </c>
      <c r="D166" s="3">
        <v>82.9</v>
      </c>
      <c r="E166" s="3">
        <v>4.3</v>
      </c>
      <c r="F166">
        <v>1</v>
      </c>
    </row>
    <row r="167" spans="1:6">
      <c r="A167" s="3">
        <v>706285.52</v>
      </c>
      <c r="B167" s="3">
        <v>35303.300000000003</v>
      </c>
      <c r="C167" s="3">
        <v>8789</v>
      </c>
      <c r="D167" s="3">
        <v>86.1</v>
      </c>
      <c r="E167" s="3">
        <v>4.2</v>
      </c>
      <c r="F167">
        <v>1</v>
      </c>
    </row>
    <row r="168" spans="1:6">
      <c r="A168" s="3">
        <v>665534.69999999995</v>
      </c>
      <c r="B168" s="3">
        <v>30301.86</v>
      </c>
      <c r="C168" s="3">
        <v>6939</v>
      </c>
      <c r="D168" s="3">
        <v>90.3</v>
      </c>
      <c r="E168" s="3">
        <v>4</v>
      </c>
      <c r="F168">
        <v>1</v>
      </c>
    </row>
    <row r="169" spans="1:6">
      <c r="A169" s="3">
        <v>820729.29</v>
      </c>
      <c r="B169" s="3">
        <v>78432.14</v>
      </c>
      <c r="C169" s="3">
        <v>9440</v>
      </c>
      <c r="D169" s="3">
        <v>89.2</v>
      </c>
      <c r="E169" s="3">
        <v>4.0999999999999996</v>
      </c>
      <c r="F169">
        <v>1</v>
      </c>
    </row>
    <row r="170" spans="1:6">
      <c r="A170" s="3">
        <v>739831.73</v>
      </c>
      <c r="B170" s="3">
        <v>62059.18</v>
      </c>
      <c r="C170" s="3">
        <v>9374</v>
      </c>
      <c r="D170" s="3">
        <v>87.1</v>
      </c>
      <c r="E170" s="3">
        <v>4.9000000000000004</v>
      </c>
      <c r="F170">
        <v>0</v>
      </c>
    </row>
    <row r="171" spans="1:6">
      <c r="A171" s="3">
        <v>593637.14</v>
      </c>
      <c r="B171" s="3">
        <v>32834.480000000003</v>
      </c>
      <c r="C171" s="3">
        <v>7576</v>
      </c>
      <c r="D171" s="3">
        <v>84.1</v>
      </c>
      <c r="E171" s="3">
        <v>5</v>
      </c>
      <c r="F171">
        <v>0</v>
      </c>
    </row>
    <row r="172" spans="1:6">
      <c r="A172" s="3">
        <v>769702.76</v>
      </c>
      <c r="B172" s="3">
        <v>50825.08</v>
      </c>
      <c r="C172" s="3">
        <v>8949</v>
      </c>
      <c r="D172" s="3">
        <v>84.7</v>
      </c>
      <c r="E172" s="3">
        <v>4.9000000000000004</v>
      </c>
      <c r="F172">
        <v>0</v>
      </c>
    </row>
    <row r="173" spans="1:6">
      <c r="A173" s="3">
        <v>679731.57</v>
      </c>
      <c r="B173" s="3">
        <v>36606.51</v>
      </c>
      <c r="C173" s="3">
        <v>7671</v>
      </c>
      <c r="D173" s="3">
        <v>89.8</v>
      </c>
      <c r="E173" s="3">
        <v>4.4000000000000004</v>
      </c>
      <c r="F173">
        <v>0</v>
      </c>
    </row>
    <row r="174" spans="1:6">
      <c r="A174" s="3">
        <v>780344.18</v>
      </c>
      <c r="B174" s="3">
        <v>65237.79</v>
      </c>
      <c r="C174" s="3">
        <v>8741</v>
      </c>
      <c r="D174" s="3">
        <v>94.4</v>
      </c>
      <c r="E174" s="3">
        <v>3.3</v>
      </c>
      <c r="F174">
        <v>0</v>
      </c>
    </row>
    <row r="175" spans="1:6">
      <c r="A175" s="3">
        <v>721364.11</v>
      </c>
      <c r="B175" s="3">
        <v>43645.98</v>
      </c>
      <c r="C175" s="3">
        <v>9480</v>
      </c>
      <c r="D175" s="3">
        <v>89</v>
      </c>
      <c r="E175" s="3">
        <v>3.1</v>
      </c>
      <c r="F175">
        <v>0</v>
      </c>
    </row>
    <row r="176" spans="1:6">
      <c r="A176" s="3">
        <v>758138.29</v>
      </c>
      <c r="B176" s="3">
        <v>68040.149999999994</v>
      </c>
      <c r="C176" s="3">
        <v>9826</v>
      </c>
      <c r="D176" s="3">
        <v>83.9</v>
      </c>
      <c r="E176" s="3">
        <v>3.6</v>
      </c>
      <c r="F176">
        <v>0</v>
      </c>
    </row>
    <row r="177" spans="1:6">
      <c r="A177" s="3">
        <v>804264</v>
      </c>
      <c r="B177" s="3">
        <v>63043.94</v>
      </c>
      <c r="C177" s="3">
        <v>10402</v>
      </c>
      <c r="D177" s="3">
        <v>93.9</v>
      </c>
      <c r="E177" s="3">
        <v>3.1</v>
      </c>
      <c r="F177">
        <v>0</v>
      </c>
    </row>
    <row r="178" spans="1:6">
      <c r="A178" s="3">
        <v>887537.75</v>
      </c>
      <c r="B178" s="3">
        <v>67494.09</v>
      </c>
      <c r="C178" s="3">
        <v>12361</v>
      </c>
      <c r="D178" s="3">
        <v>76.599999999999994</v>
      </c>
      <c r="E178" s="3">
        <v>3.7</v>
      </c>
      <c r="F178">
        <v>0</v>
      </c>
    </row>
    <row r="179" spans="1:6">
      <c r="A179" s="3">
        <v>783582</v>
      </c>
      <c r="B179" s="3">
        <v>29389.32</v>
      </c>
      <c r="C179" s="3">
        <v>7925</v>
      </c>
      <c r="D179" s="3">
        <v>90.9</v>
      </c>
      <c r="E179" s="3">
        <v>4</v>
      </c>
      <c r="F179">
        <v>0</v>
      </c>
    </row>
    <row r="180" spans="1:6">
      <c r="A180" s="3">
        <v>781955.52</v>
      </c>
      <c r="B180" s="3">
        <v>40535.089999999997</v>
      </c>
      <c r="C180" s="3">
        <v>8870</v>
      </c>
      <c r="D180" s="3">
        <v>86.6</v>
      </c>
      <c r="E180" s="3">
        <v>4.0999999999999996</v>
      </c>
      <c r="F180">
        <v>0</v>
      </c>
    </row>
    <row r="181" spans="1:6">
      <c r="A181" s="3">
        <v>898031.04</v>
      </c>
      <c r="B181" s="3">
        <v>74881.56</v>
      </c>
      <c r="C181" s="3">
        <v>9999</v>
      </c>
      <c r="D181" s="3">
        <v>89.6</v>
      </c>
      <c r="E181" s="3">
        <v>4.0999999999999996</v>
      </c>
      <c r="F181">
        <v>0</v>
      </c>
    </row>
    <row r="182" spans="1:6">
      <c r="A182" s="3">
        <v>855341.28</v>
      </c>
      <c r="B182" s="3">
        <v>68491.11</v>
      </c>
      <c r="C182" s="3">
        <v>11154</v>
      </c>
      <c r="D182" s="3">
        <v>89.4</v>
      </c>
      <c r="E182" s="3">
        <v>3.9</v>
      </c>
      <c r="F182">
        <v>0</v>
      </c>
    </row>
    <row r="183" spans="1:6">
      <c r="A183" s="3">
        <v>751393.88</v>
      </c>
      <c r="B183" s="3">
        <v>45209.25</v>
      </c>
      <c r="C183" s="3">
        <v>9287</v>
      </c>
      <c r="D183" s="3">
        <v>86.4</v>
      </c>
      <c r="E183" s="3">
        <v>3.6</v>
      </c>
      <c r="F183">
        <v>0</v>
      </c>
    </row>
    <row r="184" spans="1:6">
      <c r="A184" s="3">
        <v>761077.08</v>
      </c>
      <c r="B184" s="3">
        <v>63010.23</v>
      </c>
      <c r="C184" s="3">
        <v>9812</v>
      </c>
      <c r="D184" s="3">
        <v>76.8</v>
      </c>
      <c r="E184" s="3">
        <v>3.8</v>
      </c>
      <c r="F184">
        <v>0</v>
      </c>
    </row>
    <row r="185" spans="1:6">
      <c r="A185" s="3">
        <v>819660.59</v>
      </c>
      <c r="B185" s="3">
        <v>57948.88</v>
      </c>
      <c r="C185" s="3">
        <v>10741</v>
      </c>
      <c r="D185" s="3">
        <v>90.1</v>
      </c>
      <c r="E185" s="3">
        <v>3.1</v>
      </c>
      <c r="F185">
        <v>0</v>
      </c>
    </row>
    <row r="186" spans="1:6">
      <c r="A186" s="3">
        <v>681855.56</v>
      </c>
      <c r="B186" s="3">
        <v>71941.62</v>
      </c>
      <c r="C186" s="3">
        <v>6084</v>
      </c>
      <c r="D186" s="3">
        <v>93.7</v>
      </c>
      <c r="E186" s="3">
        <v>4.4000000000000004</v>
      </c>
      <c r="F186">
        <v>1</v>
      </c>
    </row>
    <row r="187" spans="1:6">
      <c r="A187" s="3">
        <v>678311.17</v>
      </c>
      <c r="B187" s="3">
        <v>57147.88</v>
      </c>
      <c r="C187" s="3">
        <v>5252</v>
      </c>
      <c r="D187" s="3">
        <v>95.5</v>
      </c>
      <c r="E187" s="3">
        <v>4.4000000000000004</v>
      </c>
      <c r="F187">
        <v>1</v>
      </c>
    </row>
    <row r="188" spans="1:6">
      <c r="A188" s="3">
        <v>765906.95</v>
      </c>
      <c r="B188" s="3">
        <v>48031.74</v>
      </c>
      <c r="C188" s="3">
        <v>6516</v>
      </c>
      <c r="D188" s="3">
        <v>99</v>
      </c>
      <c r="E188" s="3">
        <v>4.3</v>
      </c>
      <c r="F188">
        <v>1</v>
      </c>
    </row>
    <row r="189" spans="1:6">
      <c r="A189" s="3">
        <v>712546.38</v>
      </c>
      <c r="B189" s="3">
        <v>72784.800000000003</v>
      </c>
      <c r="C189" s="3">
        <v>7932</v>
      </c>
      <c r="D189" s="3">
        <v>74.900000000000006</v>
      </c>
      <c r="E189" s="3">
        <v>4.2</v>
      </c>
      <c r="F189">
        <v>1</v>
      </c>
    </row>
    <row r="190" spans="1:6">
      <c r="A190" s="3">
        <v>625993.82999999996</v>
      </c>
      <c r="B190" s="3">
        <v>71641.899999999994</v>
      </c>
      <c r="C190" s="3">
        <v>3506</v>
      </c>
      <c r="D190" s="3">
        <v>86.4</v>
      </c>
      <c r="E190" s="3">
        <v>4.0999999999999996</v>
      </c>
      <c r="F190">
        <v>0</v>
      </c>
    </row>
    <row r="191" spans="1:6">
      <c r="A191" s="3">
        <v>550962.93000000005</v>
      </c>
      <c r="B191" s="3">
        <v>55788.61</v>
      </c>
      <c r="C191" s="3">
        <v>2312</v>
      </c>
      <c r="D191" s="3">
        <v>91.3</v>
      </c>
      <c r="E191" s="3">
        <v>3.8</v>
      </c>
      <c r="F191">
        <v>0</v>
      </c>
    </row>
    <row r="192" spans="1:6">
      <c r="A192" s="3">
        <v>443275.59</v>
      </c>
      <c r="B192" s="3">
        <v>37705.879999999997</v>
      </c>
      <c r="C192" s="3">
        <v>1268</v>
      </c>
      <c r="D192" s="3">
        <v>84.1</v>
      </c>
      <c r="E192" s="3">
        <v>3.8</v>
      </c>
      <c r="F192">
        <v>0</v>
      </c>
    </row>
    <row r="193" spans="1:6">
      <c r="A193" s="3">
        <v>554012.06999999995</v>
      </c>
      <c r="B193" s="3">
        <v>54966.18</v>
      </c>
      <c r="C193" s="3">
        <v>4423</v>
      </c>
      <c r="D193" s="3">
        <v>88.7</v>
      </c>
      <c r="E193" s="3">
        <v>4.4000000000000004</v>
      </c>
      <c r="F193">
        <v>0</v>
      </c>
    </row>
    <row r="194" spans="1:6">
      <c r="A194" s="3">
        <v>643428.85</v>
      </c>
      <c r="B194" s="3">
        <v>81796.740000000005</v>
      </c>
      <c r="C194" s="3">
        <v>6177</v>
      </c>
      <c r="D194" s="3">
        <v>87.9</v>
      </c>
      <c r="E194" s="3">
        <v>3.2</v>
      </c>
      <c r="F194">
        <v>0</v>
      </c>
    </row>
    <row r="195" spans="1:6">
      <c r="A195" s="3">
        <v>611924.27</v>
      </c>
      <c r="B195" s="3">
        <v>51133.43</v>
      </c>
      <c r="C195" s="3">
        <v>5150</v>
      </c>
      <c r="D195" s="3">
        <v>88.5</v>
      </c>
      <c r="E195" s="3">
        <v>3.2</v>
      </c>
      <c r="F195">
        <v>0</v>
      </c>
    </row>
    <row r="196" spans="1:6">
      <c r="A196" s="3">
        <v>559422.02</v>
      </c>
      <c r="B196" s="3">
        <v>40220.18</v>
      </c>
      <c r="C196" s="3">
        <v>3783</v>
      </c>
      <c r="D196" s="3">
        <v>86.6</v>
      </c>
      <c r="E196" s="3">
        <v>3.7</v>
      </c>
      <c r="F196">
        <v>0</v>
      </c>
    </row>
    <row r="197" spans="1:6">
      <c r="A197" s="3">
        <v>449465.06</v>
      </c>
      <c r="B197" s="3">
        <v>41657.64</v>
      </c>
      <c r="C197" s="3">
        <v>3135</v>
      </c>
      <c r="D197" s="3">
        <v>85.4</v>
      </c>
      <c r="E197" s="3">
        <v>3.92</v>
      </c>
      <c r="F197">
        <v>0</v>
      </c>
    </row>
    <row r="198" spans="1:6">
      <c r="A198" s="3">
        <v>691447.43</v>
      </c>
      <c r="B198" s="3">
        <v>71851.45</v>
      </c>
      <c r="C198" s="3">
        <v>4970</v>
      </c>
      <c r="D198" s="3">
        <v>89.6</v>
      </c>
      <c r="E198" s="3">
        <v>4.2</v>
      </c>
      <c r="F198">
        <v>1</v>
      </c>
    </row>
    <row r="199" spans="1:6">
      <c r="A199" s="3">
        <v>574066.61</v>
      </c>
      <c r="B199" s="3">
        <v>54002.83</v>
      </c>
      <c r="C199" s="3">
        <v>4366</v>
      </c>
      <c r="D199" s="3">
        <v>90.6</v>
      </c>
      <c r="E199" s="3">
        <v>4.5999999999999996</v>
      </c>
      <c r="F199">
        <v>1</v>
      </c>
    </row>
    <row r="200" spans="1:6">
      <c r="A200" s="3">
        <v>578949.84</v>
      </c>
      <c r="B200" s="3">
        <v>54479.33</v>
      </c>
      <c r="C200" s="3">
        <v>5012</v>
      </c>
      <c r="D200" s="3">
        <v>86</v>
      </c>
      <c r="E200" s="3">
        <v>4.3</v>
      </c>
      <c r="F200">
        <v>1</v>
      </c>
    </row>
    <row r="201" spans="1:6">
      <c r="A201" s="3">
        <v>735786.64</v>
      </c>
      <c r="B201" s="3">
        <v>61391.8</v>
      </c>
      <c r="C201" s="3">
        <v>5575</v>
      </c>
      <c r="D201" s="3">
        <v>90</v>
      </c>
      <c r="E201" s="3">
        <v>4.8</v>
      </c>
      <c r="F201">
        <v>1</v>
      </c>
    </row>
    <row r="202" spans="1:6">
      <c r="A202" s="3">
        <v>598904.9</v>
      </c>
      <c r="B202" s="3">
        <v>22312.93</v>
      </c>
      <c r="C202" s="3">
        <v>5955</v>
      </c>
      <c r="D202" s="3">
        <v>84.2</v>
      </c>
      <c r="E202" s="3">
        <v>4.5999999999999996</v>
      </c>
      <c r="F202">
        <v>0</v>
      </c>
    </row>
    <row r="203" spans="1:6">
      <c r="A203" s="3">
        <v>787715.51</v>
      </c>
      <c r="B203" s="3">
        <v>78111.97</v>
      </c>
      <c r="C203" s="3">
        <v>6389</v>
      </c>
      <c r="D203" s="3">
        <v>83.9</v>
      </c>
      <c r="E203" s="3">
        <v>4.8</v>
      </c>
      <c r="F203">
        <v>0</v>
      </c>
    </row>
    <row r="204" spans="1:6">
      <c r="A204" s="3">
        <v>607084.92000000004</v>
      </c>
      <c r="B204" s="3">
        <v>35203.230000000003</v>
      </c>
      <c r="C204" s="3">
        <v>6896</v>
      </c>
      <c r="D204" s="3">
        <v>80.8</v>
      </c>
      <c r="E204" s="3">
        <v>5</v>
      </c>
      <c r="F204">
        <v>0</v>
      </c>
    </row>
    <row r="205" spans="1:6">
      <c r="A205" s="3">
        <v>650795.49</v>
      </c>
      <c r="B205" s="3">
        <v>64104.28</v>
      </c>
      <c r="C205" s="3">
        <v>6015</v>
      </c>
      <c r="D205" s="3">
        <v>88.7</v>
      </c>
      <c r="E205" s="3">
        <v>4</v>
      </c>
      <c r="F205">
        <v>0</v>
      </c>
    </row>
    <row r="206" spans="1:6">
      <c r="A206" s="3">
        <v>825060.52</v>
      </c>
      <c r="B206" s="3">
        <v>92090.14</v>
      </c>
      <c r="C206" s="3">
        <v>9476</v>
      </c>
      <c r="D206" s="3">
        <v>94.3</v>
      </c>
      <c r="E206" s="3">
        <v>3.7</v>
      </c>
      <c r="F206">
        <v>0</v>
      </c>
    </row>
    <row r="207" spans="1:6">
      <c r="A207" s="3">
        <v>795464.47</v>
      </c>
      <c r="B207" s="3">
        <v>54300.87</v>
      </c>
      <c r="C207" s="3">
        <v>7875</v>
      </c>
      <c r="D207" s="3">
        <v>94.1</v>
      </c>
      <c r="E207" s="3">
        <v>3.7</v>
      </c>
      <c r="F207">
        <v>0</v>
      </c>
    </row>
    <row r="208" spans="1:6">
      <c r="A208" s="3">
        <v>671868.59</v>
      </c>
      <c r="B208" s="3">
        <v>37983.35</v>
      </c>
      <c r="C208" s="3">
        <v>9283</v>
      </c>
      <c r="D208" s="3">
        <v>83.2</v>
      </c>
      <c r="E208" s="3">
        <v>3.7</v>
      </c>
      <c r="F208">
        <v>0</v>
      </c>
    </row>
    <row r="209" spans="1:6">
      <c r="A209" s="3">
        <v>675917.63</v>
      </c>
      <c r="B209" s="3">
        <v>56413.83</v>
      </c>
      <c r="C209" s="3">
        <v>8303</v>
      </c>
      <c r="D209" s="3">
        <v>93.6</v>
      </c>
      <c r="E209" s="3">
        <v>3.7</v>
      </c>
      <c r="F209">
        <v>0</v>
      </c>
    </row>
    <row r="210" spans="1:6">
      <c r="A210" s="3">
        <v>810446.53</v>
      </c>
      <c r="B210" s="3">
        <v>63457.19</v>
      </c>
      <c r="C210" s="3">
        <v>10125</v>
      </c>
      <c r="D210" s="3">
        <v>87</v>
      </c>
      <c r="E210" s="3">
        <v>3.7</v>
      </c>
      <c r="F210">
        <v>0</v>
      </c>
    </row>
    <row r="211" spans="1:6">
      <c r="A211" s="3">
        <v>691288.19</v>
      </c>
      <c r="B211" s="3">
        <v>62949.7</v>
      </c>
      <c r="C211" s="3">
        <v>9458</v>
      </c>
      <c r="D211" s="3">
        <v>84.9</v>
      </c>
      <c r="E211" s="3">
        <v>3.3</v>
      </c>
      <c r="F211">
        <v>0</v>
      </c>
    </row>
    <row r="212" spans="1:6">
      <c r="A212" s="3">
        <v>946833.54</v>
      </c>
      <c r="B212" s="3">
        <v>107970.19</v>
      </c>
      <c r="C212" s="3">
        <v>12870</v>
      </c>
      <c r="D212" s="3">
        <v>91.7</v>
      </c>
      <c r="E212" s="3">
        <v>3.7</v>
      </c>
      <c r="F212">
        <v>0</v>
      </c>
    </row>
    <row r="213" spans="1:6">
      <c r="A213" s="3">
        <v>761963.23</v>
      </c>
      <c r="B213" s="3">
        <v>49405.75</v>
      </c>
      <c r="C213" s="3">
        <v>9752</v>
      </c>
      <c r="D213" s="3">
        <v>87</v>
      </c>
      <c r="E213" s="3">
        <v>4.0999999999999996</v>
      </c>
      <c r="F213">
        <v>0</v>
      </c>
    </row>
    <row r="214" spans="1:6">
      <c r="A214" s="3">
        <v>812152.6</v>
      </c>
      <c r="B214" s="3">
        <v>50887.46</v>
      </c>
      <c r="C214" s="3">
        <v>9505</v>
      </c>
      <c r="D214" s="3">
        <v>89.7</v>
      </c>
      <c r="E214" s="3">
        <v>4.3</v>
      </c>
      <c r="F214">
        <v>0</v>
      </c>
    </row>
    <row r="215" spans="1:6">
      <c r="A215" s="3">
        <v>804975.5</v>
      </c>
      <c r="B215" s="3">
        <v>41819.449999999997</v>
      </c>
      <c r="C215" s="3">
        <v>9412</v>
      </c>
      <c r="D215" s="3">
        <v>91</v>
      </c>
      <c r="E215" s="3">
        <v>4.2</v>
      </c>
      <c r="F215">
        <v>0</v>
      </c>
    </row>
    <row r="216" spans="1:6">
      <c r="A216" s="3">
        <v>752321.72</v>
      </c>
      <c r="B216" s="3">
        <v>35296.54</v>
      </c>
      <c r="C216" s="3">
        <v>9644</v>
      </c>
      <c r="D216" s="3">
        <v>88</v>
      </c>
      <c r="E216" s="3">
        <v>4.7</v>
      </c>
      <c r="F216">
        <v>0</v>
      </c>
    </row>
    <row r="217" spans="1:6">
      <c r="A217" s="3">
        <v>836908.24</v>
      </c>
      <c r="B217" s="3">
        <v>47391.09</v>
      </c>
      <c r="C217" s="3">
        <v>11224</v>
      </c>
      <c r="D217" s="3">
        <v>88.4</v>
      </c>
      <c r="E217" s="3">
        <v>4.9000000000000004</v>
      </c>
      <c r="F217">
        <v>0</v>
      </c>
    </row>
    <row r="218" spans="1:6">
      <c r="A218" s="3">
        <v>674289.1</v>
      </c>
      <c r="B218" s="3">
        <v>69180.539999999994</v>
      </c>
      <c r="C218" s="3">
        <v>5394</v>
      </c>
      <c r="D218" s="3">
        <v>82.9</v>
      </c>
      <c r="E218" s="3">
        <v>3.3</v>
      </c>
      <c r="F218">
        <v>1</v>
      </c>
    </row>
    <row r="219" spans="1:6">
      <c r="A219" s="3">
        <v>622892.42000000004</v>
      </c>
      <c r="B219" s="3">
        <v>33987.33</v>
      </c>
      <c r="C219" s="3">
        <v>5014</v>
      </c>
      <c r="D219" s="3">
        <v>94.3</v>
      </c>
      <c r="E219" s="3">
        <v>3.9</v>
      </c>
      <c r="F219">
        <v>1</v>
      </c>
    </row>
    <row r="220" spans="1:6">
      <c r="A220" s="3">
        <v>673348.56</v>
      </c>
      <c r="B220" s="3">
        <v>58785.33</v>
      </c>
      <c r="C220" s="3">
        <v>4467</v>
      </c>
      <c r="D220" s="3">
        <v>90.7</v>
      </c>
      <c r="E220" s="3">
        <v>3.7</v>
      </c>
      <c r="F220">
        <v>1</v>
      </c>
    </row>
    <row r="221" spans="1:6">
      <c r="A221" s="3">
        <v>606278.30000000005</v>
      </c>
      <c r="B221" s="3">
        <v>16451.849999999999</v>
      </c>
      <c r="C221" s="3">
        <v>4678</v>
      </c>
      <c r="D221" s="3">
        <v>95.9</v>
      </c>
      <c r="E221" s="3">
        <v>3.9</v>
      </c>
      <c r="F221">
        <v>1</v>
      </c>
    </row>
    <row r="222" spans="1:6">
      <c r="A222" s="3">
        <v>712219.81</v>
      </c>
      <c r="B222" s="3">
        <v>53367.73</v>
      </c>
      <c r="C222" s="3">
        <v>7291</v>
      </c>
      <c r="D222" s="3">
        <v>90.6</v>
      </c>
      <c r="E222" s="3">
        <v>3.8</v>
      </c>
      <c r="F222">
        <v>0</v>
      </c>
    </row>
    <row r="223" spans="1:6">
      <c r="A223" s="3">
        <v>672670.54</v>
      </c>
      <c r="B223" s="3">
        <v>27194.639999999999</v>
      </c>
      <c r="C223" s="3">
        <v>7404</v>
      </c>
      <c r="D223" s="3">
        <v>90.2</v>
      </c>
      <c r="E223" s="3">
        <v>3.4</v>
      </c>
      <c r="F223">
        <v>0</v>
      </c>
    </row>
    <row r="224" spans="1:6">
      <c r="A224" s="3">
        <v>732667.92</v>
      </c>
      <c r="B224" s="3">
        <v>66962.740000000005</v>
      </c>
      <c r="C224" s="3">
        <v>7880</v>
      </c>
      <c r="D224" s="3">
        <v>90.4</v>
      </c>
      <c r="E224" s="3">
        <v>3.3</v>
      </c>
      <c r="F224">
        <v>0</v>
      </c>
    </row>
    <row r="225" spans="1:6">
      <c r="A225" s="3">
        <v>723531.4</v>
      </c>
      <c r="B225" s="3">
        <v>73540.990000000005</v>
      </c>
      <c r="C225" s="3">
        <v>8773</v>
      </c>
      <c r="D225" s="3">
        <v>84.4</v>
      </c>
      <c r="E225" s="3">
        <v>3.6</v>
      </c>
      <c r="F225">
        <v>0</v>
      </c>
    </row>
    <row r="226" spans="1:6">
      <c r="A226" s="3">
        <v>641564.6</v>
      </c>
      <c r="B226" s="3">
        <v>68212.289999999994</v>
      </c>
      <c r="C226" s="3">
        <v>4713</v>
      </c>
      <c r="D226" s="3">
        <v>82.6</v>
      </c>
      <c r="E226" s="3">
        <v>3</v>
      </c>
      <c r="F226">
        <v>0</v>
      </c>
    </row>
    <row r="227" spans="1:6">
      <c r="A227" s="3">
        <v>536545.49</v>
      </c>
      <c r="B227" s="3">
        <v>57225.98</v>
      </c>
      <c r="C227" s="3">
        <v>2842</v>
      </c>
      <c r="D227" s="3">
        <v>79.5</v>
      </c>
      <c r="E227" s="3">
        <v>3.4</v>
      </c>
      <c r="F227">
        <v>0</v>
      </c>
    </row>
    <row r="228" spans="1:6">
      <c r="A228" s="3">
        <v>527681.56000000006</v>
      </c>
      <c r="B228" s="3">
        <v>42932.02</v>
      </c>
      <c r="C228" s="3">
        <v>3872</v>
      </c>
      <c r="D228" s="3">
        <v>83.2</v>
      </c>
      <c r="E228" s="3">
        <v>3.3</v>
      </c>
      <c r="F228">
        <v>0</v>
      </c>
    </row>
    <row r="229" spans="1:6">
      <c r="A229" s="3">
        <v>529598.93999999994</v>
      </c>
      <c r="B229" s="3">
        <v>39341.449999999997</v>
      </c>
      <c r="C229" s="3">
        <v>1375</v>
      </c>
      <c r="D229" s="3">
        <v>95</v>
      </c>
      <c r="E229" s="3">
        <v>3.92</v>
      </c>
      <c r="F229">
        <v>0</v>
      </c>
    </row>
    <row r="230" spans="1:6">
      <c r="A230" s="3">
        <v>570963.31000000006</v>
      </c>
      <c r="B230" s="3">
        <v>37324.230000000003</v>
      </c>
      <c r="C230" s="3">
        <v>5957</v>
      </c>
      <c r="D230" s="3">
        <v>85.9</v>
      </c>
      <c r="E230" s="3">
        <v>3.8</v>
      </c>
      <c r="F230">
        <v>0</v>
      </c>
    </row>
    <row r="231" spans="1:6">
      <c r="A231" s="3">
        <v>870937.4</v>
      </c>
      <c r="B231" s="3">
        <v>113736</v>
      </c>
      <c r="C231" s="3">
        <v>8961</v>
      </c>
      <c r="D231" s="3">
        <v>86.2</v>
      </c>
      <c r="E231" s="3">
        <v>4</v>
      </c>
      <c r="F231">
        <v>0</v>
      </c>
    </row>
    <row r="232" spans="1:6">
      <c r="A232" s="3">
        <v>596969.27</v>
      </c>
      <c r="B232" s="3">
        <v>33173.949999999997</v>
      </c>
      <c r="C232" s="3">
        <v>6545</v>
      </c>
      <c r="D232" s="3">
        <v>84.4</v>
      </c>
      <c r="E232" s="3">
        <v>3.9</v>
      </c>
      <c r="F232">
        <v>0</v>
      </c>
    </row>
    <row r="233" spans="1:6">
      <c r="A233" s="3">
        <v>647512.85</v>
      </c>
      <c r="B233" s="3">
        <v>25818.080000000002</v>
      </c>
      <c r="C233" s="3">
        <v>5457</v>
      </c>
      <c r="D233" s="3">
        <v>95.4</v>
      </c>
      <c r="E233" s="3">
        <v>3.7</v>
      </c>
      <c r="F233">
        <v>0</v>
      </c>
    </row>
    <row r="234" spans="1:6">
      <c r="A234" s="3">
        <v>658072.14</v>
      </c>
      <c r="B234" s="3">
        <v>47241.919999999998</v>
      </c>
      <c r="C234" s="3">
        <v>4264</v>
      </c>
      <c r="D234" s="3">
        <v>95.3</v>
      </c>
      <c r="E234" s="3">
        <v>4.3</v>
      </c>
      <c r="F234">
        <v>0</v>
      </c>
    </row>
    <row r="235" spans="1:6">
      <c r="A235" s="3">
        <v>723305.11</v>
      </c>
      <c r="B235" s="3">
        <v>61650.79</v>
      </c>
      <c r="C235" s="3">
        <v>5321</v>
      </c>
      <c r="D235" s="3">
        <v>89.2</v>
      </c>
      <c r="E235" s="3">
        <v>4</v>
      </c>
      <c r="F235">
        <v>0</v>
      </c>
    </row>
    <row r="236" spans="1:6">
      <c r="A236" s="3">
        <v>640666.53</v>
      </c>
      <c r="B236" s="3">
        <v>62582.71</v>
      </c>
      <c r="C236" s="3">
        <v>5479</v>
      </c>
      <c r="D236" s="3">
        <v>81.2</v>
      </c>
      <c r="E236" s="3">
        <v>4.5</v>
      </c>
      <c r="F236">
        <v>0</v>
      </c>
    </row>
    <row r="237" spans="1:6">
      <c r="A237" s="3">
        <v>670629.48</v>
      </c>
      <c r="B237" s="3">
        <v>47944.14</v>
      </c>
      <c r="C237" s="3">
        <v>6169</v>
      </c>
      <c r="D237" s="3">
        <v>92.2</v>
      </c>
      <c r="E237" s="3">
        <v>4.0999999999999996</v>
      </c>
      <c r="F237">
        <v>0</v>
      </c>
    </row>
    <row r="238" spans="1:6">
      <c r="A238" s="3">
        <v>721079.35</v>
      </c>
      <c r="B238" s="3">
        <v>46495.4</v>
      </c>
      <c r="C238" s="3">
        <v>9908</v>
      </c>
      <c r="D238" s="3">
        <v>89.4</v>
      </c>
      <c r="E238" s="3">
        <v>3.7</v>
      </c>
      <c r="F238">
        <v>0</v>
      </c>
    </row>
    <row r="239" spans="1:6">
      <c r="A239" s="3">
        <v>810355.02</v>
      </c>
      <c r="B239" s="3">
        <v>72961.95</v>
      </c>
      <c r="C239" s="3">
        <v>9996</v>
      </c>
      <c r="D239" s="3">
        <v>89.1</v>
      </c>
      <c r="E239" s="3">
        <v>3.4</v>
      </c>
      <c r="F239">
        <v>0</v>
      </c>
    </row>
    <row r="240" spans="1:6">
      <c r="A240" s="3">
        <v>761919.25</v>
      </c>
      <c r="B240" s="3">
        <v>59060.05</v>
      </c>
      <c r="C240" s="3">
        <v>9702</v>
      </c>
      <c r="D240" s="3">
        <v>80.900000000000006</v>
      </c>
      <c r="E240" s="3">
        <v>3.2</v>
      </c>
      <c r="F240">
        <v>0</v>
      </c>
    </row>
    <row r="241" spans="1:6">
      <c r="A241" s="3">
        <v>737070.18</v>
      </c>
      <c r="B241" s="3">
        <v>26248.1</v>
      </c>
      <c r="C241" s="3">
        <v>9314</v>
      </c>
      <c r="D241" s="3">
        <v>83.7</v>
      </c>
      <c r="E241" s="3">
        <v>3.3</v>
      </c>
      <c r="F241">
        <v>0</v>
      </c>
    </row>
    <row r="242" spans="1:6">
      <c r="A242" s="3">
        <v>776992.93</v>
      </c>
      <c r="B242" s="3">
        <v>69900.12</v>
      </c>
      <c r="C242" s="3">
        <v>8055</v>
      </c>
      <c r="D242" s="3">
        <v>85.6</v>
      </c>
      <c r="E242" s="3">
        <v>2.9</v>
      </c>
      <c r="F242">
        <v>0</v>
      </c>
    </row>
    <row r="243" spans="1:6">
      <c r="A243" s="3">
        <v>676337.41</v>
      </c>
      <c r="B243" s="3">
        <v>51781.599999999999</v>
      </c>
      <c r="C243" s="3">
        <v>5648</v>
      </c>
      <c r="D243" s="3">
        <v>85.5</v>
      </c>
      <c r="E243" s="3">
        <v>3.7</v>
      </c>
      <c r="F243">
        <v>0</v>
      </c>
    </row>
    <row r="244" spans="1:6">
      <c r="A244" s="3">
        <v>828219.67</v>
      </c>
      <c r="B244" s="3">
        <v>70799.64</v>
      </c>
      <c r="C244" s="3">
        <v>10076</v>
      </c>
      <c r="D244" s="3">
        <v>84.8</v>
      </c>
      <c r="E244" s="3">
        <v>3.5</v>
      </c>
      <c r="F244">
        <v>0</v>
      </c>
    </row>
    <row r="245" spans="1:6">
      <c r="A245" s="3">
        <v>763159.92</v>
      </c>
      <c r="B245" s="3">
        <v>53546.34</v>
      </c>
      <c r="C245" s="3">
        <v>8004</v>
      </c>
      <c r="D245" s="3">
        <v>95.2</v>
      </c>
      <c r="E245" s="3">
        <v>3</v>
      </c>
      <c r="F245">
        <v>0</v>
      </c>
    </row>
    <row r="246" spans="1:6">
      <c r="A246" s="3">
        <v>802001.68</v>
      </c>
      <c r="B246" s="3">
        <v>76942.2</v>
      </c>
      <c r="C246" s="3">
        <v>8934</v>
      </c>
      <c r="D246" s="3">
        <v>91</v>
      </c>
      <c r="E246" s="3">
        <v>3.2</v>
      </c>
      <c r="F246">
        <v>0</v>
      </c>
    </row>
    <row r="247" spans="1:6">
      <c r="A247" s="3">
        <v>750471.34</v>
      </c>
      <c r="B247" s="3">
        <v>48060.78</v>
      </c>
      <c r="C247" s="3">
        <v>8733</v>
      </c>
      <c r="D247" s="3">
        <v>89.9</v>
      </c>
      <c r="E247" s="3">
        <v>3.4</v>
      </c>
      <c r="F247">
        <v>0</v>
      </c>
    </row>
    <row r="248" spans="1:6">
      <c r="A248" s="3">
        <v>679230.86</v>
      </c>
      <c r="B248" s="3">
        <v>57390.04</v>
      </c>
      <c r="C248" s="3">
        <v>7374</v>
      </c>
      <c r="D248" s="3">
        <v>91.8</v>
      </c>
      <c r="E248" s="3">
        <v>3.1</v>
      </c>
      <c r="F248">
        <v>0</v>
      </c>
    </row>
    <row r="249" spans="1:6">
      <c r="A249" s="3">
        <v>679888.74</v>
      </c>
      <c r="B249" s="3">
        <v>21536.18</v>
      </c>
      <c r="C249" s="3">
        <v>8119</v>
      </c>
      <c r="D249" s="3">
        <v>90.4</v>
      </c>
      <c r="E249" s="3">
        <v>3.3</v>
      </c>
      <c r="F249">
        <v>0</v>
      </c>
    </row>
    <row r="250" spans="1:6">
      <c r="A250" s="3">
        <v>606783.67000000004</v>
      </c>
      <c r="B250" s="3">
        <v>40923.67</v>
      </c>
      <c r="C250" s="3">
        <v>3875</v>
      </c>
      <c r="D250" s="3">
        <v>96.1</v>
      </c>
      <c r="E250" s="3">
        <v>3.8</v>
      </c>
      <c r="F250">
        <v>1</v>
      </c>
    </row>
    <row r="251" spans="1:6">
      <c r="A251" s="3">
        <v>642751.42000000004</v>
      </c>
      <c r="B251" s="3">
        <v>72932.55</v>
      </c>
      <c r="C251" s="3">
        <v>5765</v>
      </c>
      <c r="D251" s="3">
        <v>81.8</v>
      </c>
      <c r="E251" s="3">
        <v>3.6</v>
      </c>
      <c r="F251">
        <v>1</v>
      </c>
    </row>
    <row r="252" spans="1:6">
      <c r="A252" s="3">
        <v>647953.78</v>
      </c>
      <c r="B252" s="3">
        <v>38361.93</v>
      </c>
      <c r="C252" s="3">
        <v>6322</v>
      </c>
      <c r="D252" s="3">
        <v>88.4</v>
      </c>
      <c r="E252" s="3">
        <v>4</v>
      </c>
      <c r="F252">
        <v>1</v>
      </c>
    </row>
    <row r="253" spans="1:6">
      <c r="A253" s="3">
        <v>729440.45</v>
      </c>
      <c r="B253" s="3">
        <v>97480.94</v>
      </c>
      <c r="C253" s="3">
        <v>6840</v>
      </c>
      <c r="D253" s="3">
        <v>79.2</v>
      </c>
      <c r="E253" s="3">
        <v>4</v>
      </c>
      <c r="F253">
        <v>1</v>
      </c>
    </row>
    <row r="254" spans="1:6">
      <c r="A254" s="3">
        <v>764949</v>
      </c>
      <c r="B254" s="3">
        <v>81801.8</v>
      </c>
      <c r="C254" s="3">
        <v>6782</v>
      </c>
      <c r="D254" s="3">
        <v>99</v>
      </c>
      <c r="E254" s="3">
        <v>3.7</v>
      </c>
      <c r="F254">
        <v>0</v>
      </c>
    </row>
    <row r="255" spans="1:6">
      <c r="A255" s="3">
        <v>799046.94</v>
      </c>
      <c r="B255" s="3">
        <v>63582.11</v>
      </c>
      <c r="C255" s="3">
        <v>6856</v>
      </c>
      <c r="D255" s="3">
        <v>89.5</v>
      </c>
      <c r="E255" s="3">
        <v>3.2</v>
      </c>
      <c r="F255">
        <v>0</v>
      </c>
    </row>
    <row r="256" spans="1:6">
      <c r="A256" s="3">
        <v>720079.54</v>
      </c>
      <c r="B256" s="3">
        <v>75412.740000000005</v>
      </c>
      <c r="C256" s="3">
        <v>5641</v>
      </c>
      <c r="D256" s="3">
        <v>87.9</v>
      </c>
      <c r="E256" s="3">
        <v>3.6</v>
      </c>
      <c r="F256">
        <v>0</v>
      </c>
    </row>
    <row r="257" spans="1:6">
      <c r="A257" s="3">
        <v>612390.14</v>
      </c>
      <c r="B257" s="3">
        <v>36290.080000000002</v>
      </c>
      <c r="C257" s="3">
        <v>5787</v>
      </c>
      <c r="D257" s="3">
        <v>88.3</v>
      </c>
      <c r="E257" s="3">
        <v>4.0999999999999996</v>
      </c>
      <c r="F257">
        <v>0</v>
      </c>
    </row>
    <row r="258" spans="1:6">
      <c r="A258" s="3">
        <v>840108.12</v>
      </c>
      <c r="B258" s="3">
        <v>65272.58</v>
      </c>
      <c r="C258" s="3">
        <v>8165</v>
      </c>
      <c r="D258" s="3">
        <v>87.8</v>
      </c>
      <c r="E258" s="3">
        <v>4.3</v>
      </c>
      <c r="F258">
        <v>0</v>
      </c>
    </row>
    <row r="259" spans="1:6">
      <c r="A259" s="3">
        <v>697888.09</v>
      </c>
      <c r="B259" s="3">
        <v>28670.43</v>
      </c>
      <c r="C259" s="3">
        <v>7574</v>
      </c>
      <c r="D259" s="3">
        <v>82.7</v>
      </c>
      <c r="E259" s="3">
        <v>4.5999999999999996</v>
      </c>
      <c r="F259">
        <v>0</v>
      </c>
    </row>
    <row r="260" spans="1:6">
      <c r="A260" s="3">
        <v>746115.59</v>
      </c>
      <c r="B260" s="3">
        <v>44189.34</v>
      </c>
      <c r="C260" s="3">
        <v>8634</v>
      </c>
      <c r="D260" s="3">
        <v>87.5</v>
      </c>
      <c r="E260" s="3">
        <v>4.4000000000000004</v>
      </c>
      <c r="F260">
        <v>0</v>
      </c>
    </row>
    <row r="261" spans="1:6">
      <c r="A261" s="3">
        <v>776110.32</v>
      </c>
      <c r="B261" s="3">
        <v>38397.82</v>
      </c>
      <c r="C261" s="3">
        <v>7836</v>
      </c>
      <c r="D261" s="3">
        <v>92.2</v>
      </c>
      <c r="E261" s="3">
        <v>3.6</v>
      </c>
      <c r="F261">
        <v>0</v>
      </c>
    </row>
    <row r="262" spans="1:6">
      <c r="A262" s="3">
        <v>528852.62</v>
      </c>
      <c r="B262" s="3">
        <v>14519.37</v>
      </c>
      <c r="C262" s="3">
        <v>3047</v>
      </c>
      <c r="D262" s="3">
        <v>90.3</v>
      </c>
      <c r="E262" s="3">
        <v>4.2</v>
      </c>
      <c r="F262">
        <v>0</v>
      </c>
    </row>
    <row r="263" spans="1:6">
      <c r="A263" s="3">
        <v>605751.32999999996</v>
      </c>
      <c r="B263" s="3">
        <v>43288.2</v>
      </c>
      <c r="C263" s="3">
        <v>4783</v>
      </c>
      <c r="D263" s="3">
        <v>87.3</v>
      </c>
      <c r="E263" s="3">
        <v>4.2</v>
      </c>
      <c r="F263">
        <v>0</v>
      </c>
    </row>
    <row r="264" spans="1:6">
      <c r="A264" s="3">
        <v>677640.65</v>
      </c>
      <c r="B264" s="3">
        <v>51450.55</v>
      </c>
      <c r="C264" s="3">
        <v>4902</v>
      </c>
      <c r="D264" s="3">
        <v>83.7</v>
      </c>
      <c r="E264" s="3">
        <v>4.2</v>
      </c>
      <c r="F264">
        <v>0</v>
      </c>
    </row>
    <row r="265" spans="1:6">
      <c r="A265" s="3">
        <v>636613.23</v>
      </c>
      <c r="B265" s="3">
        <v>58688.26</v>
      </c>
      <c r="C265" s="3">
        <v>4022</v>
      </c>
      <c r="D265" s="3">
        <v>93.8</v>
      </c>
      <c r="E265" s="3">
        <v>3.7</v>
      </c>
      <c r="F265">
        <v>0</v>
      </c>
    </row>
    <row r="266" spans="1:6">
      <c r="A266" s="3">
        <v>708985.19</v>
      </c>
      <c r="B266" s="3">
        <v>58981.91</v>
      </c>
      <c r="C266" s="3">
        <v>7324</v>
      </c>
      <c r="D266" s="3">
        <v>95.8</v>
      </c>
      <c r="E266" s="3">
        <v>3.5</v>
      </c>
      <c r="F266">
        <v>0</v>
      </c>
    </row>
    <row r="267" spans="1:6">
      <c r="A267" s="3">
        <v>767792.94</v>
      </c>
      <c r="B267" s="3">
        <v>73454.539999999994</v>
      </c>
      <c r="C267" s="3">
        <v>8129</v>
      </c>
      <c r="D267" s="3">
        <v>85.2</v>
      </c>
      <c r="E267" s="3">
        <v>3.7</v>
      </c>
      <c r="F267">
        <v>0</v>
      </c>
    </row>
    <row r="268" spans="1:6">
      <c r="A268" s="3">
        <v>745580.51</v>
      </c>
      <c r="B268" s="3">
        <v>56602.39</v>
      </c>
      <c r="C268" s="3">
        <v>7969</v>
      </c>
      <c r="D268" s="3">
        <v>88.3</v>
      </c>
      <c r="E268" s="3">
        <v>3.7</v>
      </c>
      <c r="F268">
        <v>0</v>
      </c>
    </row>
    <row r="269" spans="1:6">
      <c r="A269" s="3">
        <v>762328.31</v>
      </c>
      <c r="B269" s="3">
        <v>67722.289999999994</v>
      </c>
      <c r="C269" s="3">
        <v>7240</v>
      </c>
      <c r="D269" s="3">
        <v>92.9</v>
      </c>
      <c r="E269" s="3">
        <v>3.5</v>
      </c>
      <c r="F269">
        <v>0</v>
      </c>
    </row>
    <row r="270" spans="1:6">
      <c r="A270" s="3">
        <v>660633.99</v>
      </c>
      <c r="B270" s="3">
        <v>48752.92</v>
      </c>
      <c r="C270" s="3">
        <v>8052</v>
      </c>
      <c r="D270" s="3">
        <v>94.9</v>
      </c>
      <c r="E270" s="3">
        <v>3.6</v>
      </c>
      <c r="F270">
        <v>0</v>
      </c>
    </row>
    <row r="271" spans="1:6">
      <c r="A271" s="3">
        <v>739374.56</v>
      </c>
      <c r="B271" s="3">
        <v>23914.97</v>
      </c>
      <c r="C271" s="3">
        <v>8018</v>
      </c>
      <c r="D271" s="3">
        <v>89</v>
      </c>
      <c r="E271" s="3">
        <v>3.5</v>
      </c>
      <c r="F271">
        <v>0</v>
      </c>
    </row>
    <row r="272" spans="1:6">
      <c r="A272" s="3">
        <v>799756.46</v>
      </c>
      <c r="B272" s="3">
        <v>61995.3</v>
      </c>
      <c r="C272" s="3">
        <v>10192</v>
      </c>
      <c r="D272" s="3">
        <v>87.6</v>
      </c>
      <c r="E272" s="3">
        <v>3.8</v>
      </c>
      <c r="F272">
        <v>0</v>
      </c>
    </row>
    <row r="273" spans="1:6">
      <c r="A273" s="3">
        <v>593343</v>
      </c>
      <c r="B273" s="3">
        <v>29344.93</v>
      </c>
      <c r="C273" s="3">
        <v>7446</v>
      </c>
      <c r="D273" s="3">
        <v>86.2</v>
      </c>
      <c r="E273" s="3">
        <v>3.2</v>
      </c>
      <c r="F273">
        <v>0</v>
      </c>
    </row>
    <row r="274" spans="1:6">
      <c r="A274" s="3">
        <v>645039.97</v>
      </c>
      <c r="B274" s="3">
        <v>50532.17</v>
      </c>
      <c r="C274" s="3">
        <v>5689</v>
      </c>
      <c r="D274" s="3">
        <v>85.6</v>
      </c>
      <c r="E274" s="3">
        <v>3.3</v>
      </c>
      <c r="F274">
        <v>0</v>
      </c>
    </row>
    <row r="275" spans="1:6">
      <c r="A275" s="3">
        <v>561597.32999999996</v>
      </c>
      <c r="B275" s="3">
        <v>17562.57</v>
      </c>
      <c r="C275" s="3">
        <v>3326</v>
      </c>
      <c r="D275" s="3">
        <v>88.1</v>
      </c>
      <c r="E275" s="3">
        <v>3.1</v>
      </c>
      <c r="F275">
        <v>0</v>
      </c>
    </row>
    <row r="276" spans="1:6">
      <c r="A276" s="3">
        <v>635837.74</v>
      </c>
      <c r="B276" s="3">
        <v>47648.71</v>
      </c>
      <c r="C276" s="3">
        <v>5767</v>
      </c>
      <c r="D276" s="3">
        <v>89.8</v>
      </c>
      <c r="E276" s="3">
        <v>3.1</v>
      </c>
      <c r="F276">
        <v>0</v>
      </c>
    </row>
    <row r="277" spans="1:6">
      <c r="A277" s="3">
        <v>686737.87</v>
      </c>
      <c r="B277" s="3">
        <v>38297.58</v>
      </c>
      <c r="C277" s="3">
        <v>5893</v>
      </c>
      <c r="D277" s="3">
        <v>77.599999999999994</v>
      </c>
      <c r="E277" s="3">
        <v>3</v>
      </c>
      <c r="F277">
        <v>0</v>
      </c>
    </row>
    <row r="278" spans="1:6">
      <c r="A278" s="3">
        <v>673076.34</v>
      </c>
      <c r="B278" s="3">
        <v>61784.11</v>
      </c>
      <c r="C278" s="3">
        <v>8564</v>
      </c>
      <c r="D278" s="3">
        <v>87.4</v>
      </c>
      <c r="E278" s="3">
        <v>3.4</v>
      </c>
      <c r="F278">
        <v>0</v>
      </c>
    </row>
    <row r="279" spans="1:6">
      <c r="A279" s="3">
        <v>738548.42</v>
      </c>
      <c r="B279" s="3">
        <v>36832.33</v>
      </c>
      <c r="C279" s="3">
        <v>8001</v>
      </c>
      <c r="D279" s="3">
        <v>88.7</v>
      </c>
      <c r="E279" s="3">
        <v>4</v>
      </c>
      <c r="F279">
        <v>0</v>
      </c>
    </row>
    <row r="280" spans="1:6">
      <c r="A280" s="3">
        <v>756619.77</v>
      </c>
      <c r="B280" s="3">
        <v>48609.41</v>
      </c>
      <c r="C280" s="3">
        <v>9324</v>
      </c>
      <c r="D280" s="3">
        <v>86.5</v>
      </c>
      <c r="E280" s="3">
        <v>3.9</v>
      </c>
      <c r="F280">
        <v>0</v>
      </c>
    </row>
    <row r="281" spans="1:6">
      <c r="A281" s="3">
        <v>761122.42</v>
      </c>
      <c r="B281" s="3">
        <v>70284.06</v>
      </c>
      <c r="C281" s="3">
        <v>9109</v>
      </c>
      <c r="D281" s="3">
        <v>87</v>
      </c>
      <c r="E281" s="3">
        <v>3.7</v>
      </c>
      <c r="F281">
        <v>0</v>
      </c>
    </row>
    <row r="282" spans="1:6">
      <c r="A282" s="3">
        <v>524899.56999999995</v>
      </c>
      <c r="B282" s="3">
        <v>45940.39</v>
      </c>
      <c r="C282" s="3">
        <v>4022</v>
      </c>
      <c r="D282" s="3">
        <v>83</v>
      </c>
      <c r="E282" s="3">
        <v>3.8</v>
      </c>
      <c r="F282">
        <v>0</v>
      </c>
    </row>
    <row r="283" spans="1:6">
      <c r="A283" s="3">
        <v>555557.77</v>
      </c>
      <c r="B283" s="3">
        <v>34771.26</v>
      </c>
      <c r="C283" s="3">
        <v>4355</v>
      </c>
      <c r="D283" s="3">
        <v>87.9</v>
      </c>
      <c r="E283" s="3">
        <v>4</v>
      </c>
      <c r="F283">
        <v>0</v>
      </c>
    </row>
    <row r="284" spans="1:6">
      <c r="A284" s="3">
        <v>714083.68</v>
      </c>
      <c r="B284" s="3">
        <v>66104.19</v>
      </c>
      <c r="C284" s="3">
        <v>5745</v>
      </c>
      <c r="D284" s="3">
        <v>95.8</v>
      </c>
      <c r="E284" s="3">
        <v>4</v>
      </c>
      <c r="F284">
        <v>0</v>
      </c>
    </row>
    <row r="285" spans="1:6">
      <c r="A285" s="3">
        <v>497439.82</v>
      </c>
      <c r="B285" s="3">
        <v>18599.21</v>
      </c>
      <c r="C285" s="3">
        <v>3027</v>
      </c>
      <c r="D285" s="3">
        <v>80.900000000000006</v>
      </c>
      <c r="E285" s="3">
        <v>4.2</v>
      </c>
      <c r="F285">
        <v>0</v>
      </c>
    </row>
    <row r="286" spans="1:6">
      <c r="A286" s="3">
        <v>636775.66</v>
      </c>
      <c r="B286" s="3">
        <v>60183.06</v>
      </c>
      <c r="C286" s="3">
        <v>5562</v>
      </c>
      <c r="D286" s="3">
        <v>86.3</v>
      </c>
      <c r="E286" s="3">
        <v>4.5</v>
      </c>
      <c r="F286">
        <v>0</v>
      </c>
    </row>
    <row r="287" spans="1:6">
      <c r="A287" s="3">
        <v>633009.53</v>
      </c>
      <c r="B287" s="3">
        <v>74539.14</v>
      </c>
      <c r="C287" s="3">
        <v>4487</v>
      </c>
      <c r="D287" s="3">
        <v>90.4</v>
      </c>
      <c r="E287" s="3">
        <v>4.5</v>
      </c>
      <c r="F287">
        <v>0</v>
      </c>
    </row>
    <row r="288" spans="1:6">
      <c r="A288" s="3">
        <v>609949</v>
      </c>
      <c r="B288" s="3">
        <v>55371.97</v>
      </c>
      <c r="C288" s="3">
        <v>4162</v>
      </c>
      <c r="D288" s="3">
        <v>92</v>
      </c>
      <c r="E288" s="3">
        <v>4.2</v>
      </c>
      <c r="F288">
        <v>0</v>
      </c>
    </row>
    <row r="289" spans="1:6">
      <c r="A289" s="3">
        <v>548103.69999999995</v>
      </c>
      <c r="B289" s="3">
        <v>40928.69</v>
      </c>
      <c r="C289" s="3">
        <v>4094</v>
      </c>
      <c r="D289" s="3">
        <v>82.4</v>
      </c>
      <c r="E289" s="3">
        <v>4.8</v>
      </c>
      <c r="F289">
        <v>0</v>
      </c>
    </row>
    <row r="290" spans="1:6">
      <c r="A290" s="3">
        <v>729424.42</v>
      </c>
      <c r="B290" s="3">
        <v>70012.41</v>
      </c>
      <c r="C290" s="3">
        <v>8484</v>
      </c>
      <c r="D290" s="3">
        <v>72.900000000000006</v>
      </c>
      <c r="E290" s="3">
        <v>3.7</v>
      </c>
      <c r="F290">
        <v>0</v>
      </c>
    </row>
    <row r="291" spans="1:6">
      <c r="A291" s="3">
        <v>696261.49</v>
      </c>
      <c r="B291" s="3">
        <v>68909.259999999995</v>
      </c>
      <c r="C291" s="3">
        <v>7794</v>
      </c>
      <c r="D291" s="3">
        <v>89</v>
      </c>
      <c r="E291" s="3">
        <v>4</v>
      </c>
      <c r="F291">
        <v>0</v>
      </c>
    </row>
    <row r="292" spans="1:6">
      <c r="A292" s="3">
        <v>813316.71</v>
      </c>
      <c r="B292" s="3">
        <v>56737.3</v>
      </c>
      <c r="C292" s="3">
        <v>8300</v>
      </c>
      <c r="D292" s="3">
        <v>83.2</v>
      </c>
      <c r="E292" s="3">
        <v>4.3</v>
      </c>
      <c r="F292">
        <v>0</v>
      </c>
    </row>
    <row r="293" spans="1:6">
      <c r="A293" s="3">
        <v>702068.92</v>
      </c>
      <c r="B293" s="3">
        <v>54080.91</v>
      </c>
      <c r="C293" s="3">
        <v>7083</v>
      </c>
      <c r="D293" s="3">
        <v>97</v>
      </c>
      <c r="E293" s="3">
        <v>4.0999999999999996</v>
      </c>
      <c r="F293">
        <v>0</v>
      </c>
    </row>
    <row r="294" spans="1:6">
      <c r="A294" s="3">
        <v>546223.69999999995</v>
      </c>
      <c r="B294" s="3">
        <v>51996.32</v>
      </c>
      <c r="C294" s="3">
        <v>3834</v>
      </c>
      <c r="D294" s="3">
        <v>86.7</v>
      </c>
      <c r="E294" s="3">
        <v>4.5</v>
      </c>
      <c r="F294">
        <v>0</v>
      </c>
    </row>
    <row r="295" spans="1:6">
      <c r="A295" s="3">
        <v>533121.26</v>
      </c>
      <c r="B295" s="3">
        <v>40102.879999999997</v>
      </c>
      <c r="C295" s="3">
        <v>2358</v>
      </c>
      <c r="D295" s="3">
        <v>88.7</v>
      </c>
      <c r="E295" s="3">
        <v>4.2</v>
      </c>
      <c r="F295">
        <v>0</v>
      </c>
    </row>
    <row r="296" spans="1:6">
      <c r="A296" s="3">
        <v>498970.32</v>
      </c>
      <c r="B296" s="3">
        <v>59825.51</v>
      </c>
      <c r="C296" s="3">
        <v>1231</v>
      </c>
      <c r="D296" s="3">
        <v>84.8</v>
      </c>
      <c r="E296" s="3">
        <v>4.7</v>
      </c>
      <c r="F296">
        <v>0</v>
      </c>
    </row>
    <row r="297" spans="1:6">
      <c r="A297" s="3">
        <v>487738.26</v>
      </c>
      <c r="B297" s="3">
        <v>27398.28</v>
      </c>
      <c r="C297" s="3">
        <v>1723</v>
      </c>
      <c r="D297" s="3">
        <v>81</v>
      </c>
      <c r="E297" s="3">
        <v>4.5999999999999996</v>
      </c>
      <c r="F297">
        <v>0</v>
      </c>
    </row>
    <row r="298" spans="1:6">
      <c r="A298" s="3">
        <v>668459.37</v>
      </c>
      <c r="B298" s="3">
        <v>55599.56</v>
      </c>
      <c r="C298" s="3">
        <v>5896</v>
      </c>
      <c r="D298" s="3">
        <v>93.1</v>
      </c>
      <c r="E298" s="3">
        <v>3.3</v>
      </c>
      <c r="F298">
        <v>0</v>
      </c>
    </row>
    <row r="299" spans="1:6">
      <c r="A299" s="3">
        <v>763162.45</v>
      </c>
      <c r="B299" s="3">
        <v>55477.61</v>
      </c>
      <c r="C299" s="3">
        <v>5903</v>
      </c>
      <c r="D299" s="3">
        <v>96.2</v>
      </c>
      <c r="E299" s="3">
        <v>3.3</v>
      </c>
      <c r="F299">
        <v>0</v>
      </c>
    </row>
    <row r="300" spans="1:6">
      <c r="A300" s="3">
        <v>599017.32999999996</v>
      </c>
      <c r="B300" s="3">
        <v>46174.7</v>
      </c>
      <c r="C300" s="3">
        <v>4898</v>
      </c>
      <c r="D300" s="3">
        <v>91.7</v>
      </c>
      <c r="E300" s="3">
        <v>3.1</v>
      </c>
      <c r="F300">
        <v>0</v>
      </c>
    </row>
    <row r="301" spans="1:6">
      <c r="A301" s="3">
        <v>401582.58</v>
      </c>
      <c r="B301" s="3">
        <v>24362.98</v>
      </c>
      <c r="C301" s="3">
        <v>1462</v>
      </c>
      <c r="D301" s="3">
        <v>89.3</v>
      </c>
      <c r="E301" s="3">
        <v>3.2</v>
      </c>
      <c r="F301">
        <v>0</v>
      </c>
    </row>
    <row r="302" spans="1:6">
      <c r="A302" s="3">
        <v>703812.99</v>
      </c>
      <c r="B302" s="3">
        <v>40647.67</v>
      </c>
      <c r="C302" s="3">
        <v>8252</v>
      </c>
      <c r="D302" s="3">
        <v>88.2</v>
      </c>
      <c r="E302" s="3">
        <v>4.0999999999999996</v>
      </c>
      <c r="F302">
        <v>1</v>
      </c>
    </row>
    <row r="303" spans="1:6">
      <c r="A303" s="3">
        <v>724346.73</v>
      </c>
      <c r="B303" s="3">
        <v>63986.98</v>
      </c>
      <c r="C303" s="3">
        <v>7989</v>
      </c>
      <c r="D303" s="3">
        <v>83.3</v>
      </c>
      <c r="E303" s="3">
        <v>3.7</v>
      </c>
      <c r="F303">
        <v>1</v>
      </c>
    </row>
    <row r="304" spans="1:6">
      <c r="A304" s="3">
        <v>730890.01</v>
      </c>
      <c r="B304" s="3">
        <v>52843.75</v>
      </c>
      <c r="C304" s="3">
        <v>8268</v>
      </c>
      <c r="D304" s="3">
        <v>87.3</v>
      </c>
      <c r="E304" s="3">
        <v>4.7</v>
      </c>
      <c r="F304">
        <v>1</v>
      </c>
    </row>
    <row r="305" spans="1:6">
      <c r="A305" s="3">
        <v>780580.95</v>
      </c>
      <c r="B305" s="3">
        <v>31997.25</v>
      </c>
      <c r="C305" s="3">
        <v>8183</v>
      </c>
      <c r="D305" s="3">
        <v>93</v>
      </c>
      <c r="E305" s="3">
        <v>4.2</v>
      </c>
      <c r="F305">
        <v>1</v>
      </c>
    </row>
    <row r="306" spans="1:6">
      <c r="A306" s="3">
        <v>727957.48</v>
      </c>
      <c r="B306" s="3">
        <v>54948.02</v>
      </c>
      <c r="C306" s="3">
        <v>6534</v>
      </c>
      <c r="D306" s="3">
        <v>94.5</v>
      </c>
      <c r="E306" s="3">
        <v>4</v>
      </c>
      <c r="F306">
        <v>0</v>
      </c>
    </row>
    <row r="307" spans="1:6">
      <c r="A307" s="3">
        <v>538376</v>
      </c>
      <c r="B307" s="3">
        <v>46146.239999999998</v>
      </c>
      <c r="C307" s="3">
        <v>5804</v>
      </c>
      <c r="D307" s="3">
        <v>86.9</v>
      </c>
      <c r="E307" s="3">
        <v>3.8</v>
      </c>
      <c r="F307">
        <v>0</v>
      </c>
    </row>
    <row r="308" spans="1:6">
      <c r="A308" s="3">
        <v>665342.49</v>
      </c>
      <c r="B308" s="3">
        <v>22387.26</v>
      </c>
      <c r="C308" s="3">
        <v>6301</v>
      </c>
      <c r="D308" s="3">
        <v>85.9</v>
      </c>
      <c r="E308" s="3">
        <v>3.7</v>
      </c>
      <c r="F308">
        <v>0</v>
      </c>
    </row>
    <row r="309" spans="1:6">
      <c r="A309" s="3">
        <v>651164.18000000005</v>
      </c>
      <c r="B309" s="3">
        <v>60684.05</v>
      </c>
      <c r="C309" s="3">
        <v>6399</v>
      </c>
      <c r="D309" s="3">
        <v>99</v>
      </c>
      <c r="E309" s="3">
        <v>3.5</v>
      </c>
      <c r="F309">
        <v>0</v>
      </c>
    </row>
    <row r="310" spans="1:6">
      <c r="A310" s="3">
        <v>628538.30000000005</v>
      </c>
      <c r="B310" s="3">
        <v>48465.599999999999</v>
      </c>
      <c r="C310" s="3">
        <v>5759</v>
      </c>
      <c r="D310" s="3">
        <v>87.5</v>
      </c>
      <c r="E310" s="3">
        <v>4</v>
      </c>
      <c r="F310">
        <v>0</v>
      </c>
    </row>
    <row r="311" spans="1:6">
      <c r="A311" s="3">
        <v>536524.84</v>
      </c>
      <c r="B311" s="3">
        <v>23702.38</v>
      </c>
      <c r="C311" s="3">
        <v>5285</v>
      </c>
      <c r="D311" s="3">
        <v>79.7</v>
      </c>
      <c r="E311" s="3">
        <v>4.3</v>
      </c>
      <c r="F311">
        <v>0</v>
      </c>
    </row>
    <row r="312" spans="1:6">
      <c r="A312" s="3">
        <v>621677.30000000005</v>
      </c>
      <c r="B312" s="3">
        <v>54322.94</v>
      </c>
      <c r="C312" s="3">
        <v>5434</v>
      </c>
      <c r="D312" s="3">
        <v>85.7</v>
      </c>
      <c r="E312" s="3">
        <v>4.2</v>
      </c>
      <c r="F312">
        <v>0</v>
      </c>
    </row>
    <row r="313" spans="1:6">
      <c r="A313" s="3">
        <v>771129.07</v>
      </c>
      <c r="B313" s="3">
        <v>86026.58</v>
      </c>
      <c r="C313" s="3">
        <v>7479</v>
      </c>
      <c r="D313" s="3">
        <v>89</v>
      </c>
      <c r="E313" s="3">
        <v>3.92</v>
      </c>
      <c r="F313">
        <v>0</v>
      </c>
    </row>
    <row r="314" spans="1:6">
      <c r="A314" s="3">
        <v>702052.47</v>
      </c>
      <c r="B314" s="3">
        <v>78967.520000000004</v>
      </c>
      <c r="C314" s="3">
        <v>6164</v>
      </c>
      <c r="D314" s="3">
        <v>85.5</v>
      </c>
      <c r="E314" s="3">
        <v>3.4</v>
      </c>
      <c r="F314">
        <v>1</v>
      </c>
    </row>
    <row r="315" spans="1:6">
      <c r="A315" s="3">
        <v>688368.46</v>
      </c>
      <c r="B315" s="3">
        <v>46767.99</v>
      </c>
      <c r="C315" s="3">
        <v>7973</v>
      </c>
      <c r="D315" s="3">
        <v>94.8</v>
      </c>
      <c r="E315" s="3">
        <v>3.92</v>
      </c>
      <c r="F315">
        <v>1</v>
      </c>
    </row>
    <row r="316" spans="1:6">
      <c r="A316" s="3">
        <v>712375.77</v>
      </c>
      <c r="B316" s="3">
        <v>62507.16</v>
      </c>
      <c r="C316" s="3">
        <v>6000</v>
      </c>
      <c r="D316" s="3">
        <v>98.2</v>
      </c>
      <c r="E316" s="3">
        <v>3.9</v>
      </c>
      <c r="F316">
        <v>1</v>
      </c>
    </row>
    <row r="317" spans="1:6">
      <c r="A317" s="3">
        <v>844710.67</v>
      </c>
      <c r="B317" s="3">
        <v>66456.28</v>
      </c>
      <c r="C317" s="3">
        <v>9967</v>
      </c>
      <c r="D317" s="3">
        <v>94.7</v>
      </c>
      <c r="E317" s="3">
        <v>4.2</v>
      </c>
      <c r="F317">
        <v>1</v>
      </c>
    </row>
    <row r="318" spans="1:6">
      <c r="A318" s="3">
        <v>620264.19999999995</v>
      </c>
      <c r="B318" s="3">
        <v>76614.320000000007</v>
      </c>
      <c r="C318" s="3">
        <v>5639</v>
      </c>
      <c r="D318" s="3">
        <v>92.9</v>
      </c>
      <c r="E318" s="3">
        <v>4</v>
      </c>
      <c r="F318">
        <v>0</v>
      </c>
    </row>
    <row r="319" spans="1:6">
      <c r="A319" s="3">
        <v>536845.42000000004</v>
      </c>
      <c r="B319" s="3">
        <v>24088.06</v>
      </c>
      <c r="C319" s="3">
        <v>3466</v>
      </c>
      <c r="D319" s="3">
        <v>88</v>
      </c>
      <c r="E319" s="3">
        <v>3.8</v>
      </c>
      <c r="F319">
        <v>0</v>
      </c>
    </row>
    <row r="320" spans="1:6">
      <c r="A320" s="3">
        <v>726776.22</v>
      </c>
      <c r="B320" s="3">
        <v>81902.58</v>
      </c>
      <c r="C320" s="3">
        <v>7775</v>
      </c>
      <c r="D320" s="3">
        <v>85.2</v>
      </c>
      <c r="E320" s="3">
        <v>4.2</v>
      </c>
      <c r="F320">
        <v>0</v>
      </c>
    </row>
    <row r="321" spans="1:6">
      <c r="A321" s="3">
        <v>559660.84</v>
      </c>
      <c r="B321" s="3">
        <v>40553.11</v>
      </c>
      <c r="C321" s="3">
        <v>5317</v>
      </c>
      <c r="D321" s="3">
        <v>84.3</v>
      </c>
      <c r="E321" s="3">
        <v>4.0999999999999996</v>
      </c>
      <c r="F3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B18" sqref="B18"/>
    </sheetView>
  </sheetViews>
  <sheetFormatPr defaultRowHeight="14.25"/>
  <cols>
    <col min="1" max="1" width="18" bestFit="1" customWidth="1"/>
    <col min="2" max="2" width="12" bestFit="1" customWidth="1"/>
    <col min="3" max="3" width="17.625" bestFit="1" customWidth="1"/>
    <col min="4" max="4" width="16.5" bestFit="1" customWidth="1"/>
    <col min="5" max="5" width="12.375" bestFit="1" customWidth="1"/>
    <col min="6" max="6" width="13" bestFit="1" customWidth="1"/>
    <col min="7" max="8" width="12" bestFit="1" customWidth="1"/>
    <col min="9" max="9" width="12.125" bestFit="1" customWidth="1"/>
  </cols>
  <sheetData>
    <row r="1" spans="1:9">
      <c r="A1" s="10" t="s">
        <v>122</v>
      </c>
      <c r="B1" s="10"/>
      <c r="C1" s="10"/>
      <c r="D1" s="10"/>
      <c r="E1" s="10"/>
      <c r="F1" s="10"/>
      <c r="G1" s="10"/>
      <c r="H1" s="10"/>
      <c r="I1" s="10"/>
    </row>
    <row r="2" spans="1:9" ht="15" thickBot="1">
      <c r="A2" s="10"/>
      <c r="B2" s="10"/>
      <c r="C2" s="10"/>
      <c r="D2" s="10"/>
      <c r="E2" s="10"/>
      <c r="F2" s="10"/>
      <c r="G2" s="10"/>
      <c r="H2" s="10"/>
      <c r="I2" s="10"/>
    </row>
    <row r="3" spans="1:9">
      <c r="A3" s="11" t="s">
        <v>123</v>
      </c>
      <c r="B3" s="11"/>
      <c r="C3" s="10"/>
      <c r="D3" s="10"/>
      <c r="E3" s="10"/>
      <c r="F3" s="10"/>
      <c r="G3" s="10"/>
      <c r="H3" s="10"/>
      <c r="I3" s="10"/>
    </row>
    <row r="4" spans="1:9">
      <c r="A4" s="12" t="s">
        <v>124</v>
      </c>
      <c r="B4" s="12">
        <v>0.37416878727709113</v>
      </c>
      <c r="C4" s="10"/>
      <c r="D4" s="10"/>
      <c r="E4" s="10"/>
      <c r="F4" s="10"/>
      <c r="G4" s="10"/>
      <c r="H4" s="10"/>
      <c r="I4" s="10"/>
    </row>
    <row r="5" spans="1:9">
      <c r="A5" s="12" t="s">
        <v>125</v>
      </c>
      <c r="B5" s="12">
        <v>0.14000228137240908</v>
      </c>
      <c r="C5" s="10"/>
      <c r="D5" s="10"/>
      <c r="E5" s="10"/>
      <c r="F5" s="10"/>
      <c r="G5" s="10"/>
      <c r="H5" s="10"/>
      <c r="I5" s="10"/>
    </row>
    <row r="6" spans="1:9">
      <c r="A6" s="12" t="s">
        <v>126</v>
      </c>
      <c r="B6" s="12">
        <v>0.13122679444763774</v>
      </c>
      <c r="C6" s="10"/>
      <c r="D6" s="10"/>
      <c r="E6" s="10"/>
      <c r="F6" s="10"/>
      <c r="G6" s="10"/>
      <c r="H6" s="10"/>
      <c r="I6" s="10"/>
    </row>
    <row r="7" spans="1:9">
      <c r="A7" s="12" t="s">
        <v>127</v>
      </c>
      <c r="B7" s="12">
        <v>103509.23759925732</v>
      </c>
      <c r="C7" s="10"/>
      <c r="D7" s="10"/>
      <c r="E7" s="10"/>
      <c r="F7" s="10"/>
      <c r="G7" s="10"/>
      <c r="H7" s="10"/>
      <c r="I7" s="10"/>
    </row>
    <row r="8" spans="1:9" ht="15" thickBot="1">
      <c r="A8" s="13" t="s">
        <v>128</v>
      </c>
      <c r="B8" s="13">
        <v>100</v>
      </c>
      <c r="C8" s="10"/>
      <c r="D8" s="10"/>
      <c r="E8" s="10"/>
      <c r="F8" s="10"/>
      <c r="G8" s="10"/>
      <c r="H8" s="10"/>
      <c r="I8" s="10"/>
    </row>
    <row r="9" spans="1:9">
      <c r="A9" s="10"/>
      <c r="B9" s="10"/>
      <c r="C9" s="10"/>
      <c r="D9" s="10"/>
      <c r="E9" s="10"/>
      <c r="F9" s="10"/>
      <c r="G9" s="10"/>
      <c r="H9" s="10"/>
      <c r="I9" s="10"/>
    </row>
    <row r="10" spans="1:9" ht="15" thickBot="1">
      <c r="A10" s="10" t="s">
        <v>129</v>
      </c>
      <c r="B10" s="10"/>
      <c r="C10" s="10"/>
      <c r="D10" s="10"/>
      <c r="E10" s="10"/>
      <c r="F10" s="10"/>
      <c r="G10" s="10"/>
      <c r="H10" s="10"/>
      <c r="I10" s="10"/>
    </row>
    <row r="11" spans="1:9">
      <c r="A11" s="14"/>
      <c r="B11" s="14" t="s">
        <v>134</v>
      </c>
      <c r="C11" s="14" t="s">
        <v>135</v>
      </c>
      <c r="D11" s="14" t="s">
        <v>136</v>
      </c>
      <c r="E11" s="14" t="s">
        <v>137</v>
      </c>
      <c r="F11" s="14" t="s">
        <v>138</v>
      </c>
      <c r="G11" s="10"/>
      <c r="H11" s="10"/>
      <c r="I11" s="10"/>
    </row>
    <row r="12" spans="1:9">
      <c r="A12" s="12" t="s">
        <v>130</v>
      </c>
      <c r="B12" s="12">
        <v>1</v>
      </c>
      <c r="C12" s="12">
        <v>170931501969.77802</v>
      </c>
      <c r="D12" s="12">
        <v>170931501969.77844</v>
      </c>
      <c r="E12" s="12">
        <v>15.953790663992944</v>
      </c>
      <c r="F12" s="12">
        <v>1.2560384538069417E-4</v>
      </c>
      <c r="G12" s="10"/>
      <c r="H12" s="10"/>
      <c r="I12" s="10"/>
    </row>
    <row r="13" spans="1:9">
      <c r="A13" s="12" t="s">
        <v>131</v>
      </c>
      <c r="B13" s="12">
        <v>98</v>
      </c>
      <c r="C13" s="12">
        <v>1049987902301.1918</v>
      </c>
      <c r="D13" s="12">
        <v>10714162268.379507</v>
      </c>
      <c r="E13" s="12"/>
      <c r="F13" s="12"/>
      <c r="G13" s="10"/>
      <c r="H13" s="10"/>
      <c r="I13" s="10"/>
    </row>
    <row r="14" spans="1:9" ht="15" thickBot="1">
      <c r="A14" s="13" t="s">
        <v>132</v>
      </c>
      <c r="B14" s="13">
        <v>99</v>
      </c>
      <c r="C14" s="13">
        <v>1220919404270.9702</v>
      </c>
      <c r="D14" s="13"/>
      <c r="E14" s="13"/>
      <c r="F14" s="13"/>
      <c r="G14" s="10"/>
      <c r="H14" s="10"/>
      <c r="I14" s="10"/>
    </row>
    <row r="15" spans="1:9" ht="15" thickBot="1">
      <c r="A15" s="10"/>
      <c r="B15" s="10"/>
      <c r="C15" s="10"/>
      <c r="D15" s="10"/>
      <c r="E15" s="10"/>
      <c r="F15" s="10"/>
      <c r="G15" s="10"/>
      <c r="H15" s="10"/>
      <c r="I15" s="10"/>
    </row>
    <row r="16" spans="1:9">
      <c r="A16" s="14"/>
      <c r="B16" s="14" t="s">
        <v>139</v>
      </c>
      <c r="C16" s="14" t="s">
        <v>127</v>
      </c>
      <c r="D16" s="14" t="s">
        <v>140</v>
      </c>
      <c r="E16" s="14" t="s">
        <v>141</v>
      </c>
      <c r="F16" s="14" t="s">
        <v>142</v>
      </c>
      <c r="G16" s="14" t="s">
        <v>143</v>
      </c>
      <c r="H16" s="14" t="s">
        <v>144</v>
      </c>
      <c r="I16" s="14" t="s">
        <v>145</v>
      </c>
    </row>
    <row r="17" spans="1:9">
      <c r="A17" s="12" t="s">
        <v>133</v>
      </c>
      <c r="B17" s="12">
        <v>558677.51366209646</v>
      </c>
      <c r="C17" s="12">
        <v>28906.143838508833</v>
      </c>
      <c r="D17" s="12">
        <v>19.327293075938581</v>
      </c>
      <c r="E17" s="12">
        <v>3.3277778054793129E-35</v>
      </c>
      <c r="F17" s="12">
        <v>501314.21197923488</v>
      </c>
      <c r="G17" s="12">
        <v>616040.81534495798</v>
      </c>
      <c r="H17" s="12">
        <v>501314.21197923488</v>
      </c>
      <c r="I17" s="12">
        <v>616040.81534495798</v>
      </c>
    </row>
    <row r="18" spans="1:9" ht="15" thickBot="1">
      <c r="A18" s="13" t="s">
        <v>4</v>
      </c>
      <c r="B18" s="13">
        <v>1.7535771986114259</v>
      </c>
      <c r="C18" s="13">
        <v>0.43902873388009994</v>
      </c>
      <c r="D18" s="13">
        <v>3.9942196564526755</v>
      </c>
      <c r="E18" s="13">
        <v>1.2560384538069477E-4</v>
      </c>
      <c r="F18" s="13">
        <v>0.88233896463230366</v>
      </c>
      <c r="G18" s="13">
        <v>2.6248154325905482</v>
      </c>
      <c r="H18" s="13">
        <v>0.88233896463230366</v>
      </c>
      <c r="I18" s="13">
        <v>2.6248154325905482</v>
      </c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18" sqref="E18"/>
    </sheetView>
  </sheetViews>
  <sheetFormatPr defaultRowHeight="14.25"/>
  <cols>
    <col min="1" max="1" width="18" style="10" bestFit="1" customWidth="1"/>
    <col min="2" max="2" width="12" style="10" bestFit="1" customWidth="1"/>
    <col min="3" max="3" width="17.625" style="10" bestFit="1" customWidth="1"/>
    <col min="4" max="4" width="16.5" style="10" bestFit="1" customWidth="1"/>
    <col min="5" max="5" width="12.5" style="10" bestFit="1" customWidth="1"/>
    <col min="6" max="6" width="13.125" style="10" bestFit="1" customWidth="1"/>
    <col min="7" max="8" width="12" style="10" bestFit="1" customWidth="1"/>
    <col min="9" max="9" width="12.125" style="10" bestFit="1" customWidth="1"/>
    <col min="10" max="16384" width="9" style="10"/>
  </cols>
  <sheetData>
    <row r="1" spans="1:9">
      <c r="A1" s="10" t="s">
        <v>122</v>
      </c>
    </row>
    <row r="2" spans="1:9" ht="15" thickBot="1"/>
    <row r="3" spans="1:9">
      <c r="A3" s="11" t="s">
        <v>123</v>
      </c>
      <c r="B3" s="11"/>
    </row>
    <row r="4" spans="1:9">
      <c r="A4" s="12" t="s">
        <v>124</v>
      </c>
      <c r="B4" s="12">
        <v>0.85390051588512506</v>
      </c>
    </row>
    <row r="5" spans="1:9">
      <c r="A5" s="12" t="s">
        <v>125</v>
      </c>
      <c r="B5" s="12">
        <v>0.72914609102888261</v>
      </c>
    </row>
    <row r="6" spans="1:9">
      <c r="A6" s="12" t="s">
        <v>126</v>
      </c>
      <c r="B6" s="12">
        <v>0.72638227563121815</v>
      </c>
    </row>
    <row r="7" spans="1:9">
      <c r="A7" s="12" t="s">
        <v>127</v>
      </c>
      <c r="B7" s="12">
        <v>58089.550255028058</v>
      </c>
    </row>
    <row r="8" spans="1:9" ht="15" thickBot="1">
      <c r="A8" s="13" t="s">
        <v>128</v>
      </c>
      <c r="B8" s="13">
        <v>100</v>
      </c>
    </row>
    <row r="10" spans="1:9" ht="15" thickBot="1">
      <c r="A10" s="10" t="s">
        <v>129</v>
      </c>
    </row>
    <row r="11" spans="1:9">
      <c r="A11" s="14"/>
      <c r="B11" s="14" t="s">
        <v>134</v>
      </c>
      <c r="C11" s="14" t="s">
        <v>135</v>
      </c>
      <c r="D11" s="14" t="s">
        <v>136</v>
      </c>
      <c r="E11" s="14" t="s">
        <v>137</v>
      </c>
      <c r="F11" s="14" t="s">
        <v>138</v>
      </c>
    </row>
    <row r="12" spans="1:9">
      <c r="A12" s="12" t="s">
        <v>130</v>
      </c>
      <c r="B12" s="12">
        <v>1</v>
      </c>
      <c r="C12" s="12">
        <v>890228611085.48999</v>
      </c>
      <c r="D12" s="12">
        <v>890228611085.48999</v>
      </c>
      <c r="E12" s="12">
        <v>263.81866590838194</v>
      </c>
      <c r="F12" s="12">
        <v>1.5004905617637939E-29</v>
      </c>
    </row>
    <row r="13" spans="1:9">
      <c r="A13" s="12" t="s">
        <v>131</v>
      </c>
      <c r="B13" s="12">
        <v>98</v>
      </c>
      <c r="C13" s="12">
        <v>330690793185.48016</v>
      </c>
      <c r="D13" s="12">
        <v>3374395848.8314304</v>
      </c>
      <c r="E13" s="12"/>
      <c r="F13" s="12"/>
    </row>
    <row r="14" spans="1:9" ht="15" thickBot="1">
      <c r="A14" s="13" t="s">
        <v>132</v>
      </c>
      <c r="B14" s="13">
        <v>99</v>
      </c>
      <c r="C14" s="13">
        <v>1220919404270.9702</v>
      </c>
      <c r="D14" s="13"/>
      <c r="E14" s="13"/>
      <c r="F14" s="13"/>
    </row>
    <row r="15" spans="1:9" ht="15" thickBot="1"/>
    <row r="16" spans="1:9">
      <c r="A16" s="14"/>
      <c r="B16" s="14" t="s">
        <v>139</v>
      </c>
      <c r="C16" s="14" t="s">
        <v>127</v>
      </c>
      <c r="D16" s="14" t="s">
        <v>140</v>
      </c>
      <c r="E16" s="14" t="s">
        <v>141</v>
      </c>
      <c r="F16" s="14" t="s">
        <v>142</v>
      </c>
      <c r="G16" s="14" t="s">
        <v>143</v>
      </c>
      <c r="H16" s="14" t="s">
        <v>144</v>
      </c>
      <c r="I16" s="14" t="s">
        <v>145</v>
      </c>
    </row>
    <row r="17" spans="1:9">
      <c r="A17" s="12" t="s">
        <v>133</v>
      </c>
      <c r="B17" s="12">
        <v>450762.76096063433</v>
      </c>
      <c r="C17" s="12">
        <v>14495.793185562072</v>
      </c>
      <c r="D17" s="12">
        <v>31.096108725502354</v>
      </c>
      <c r="E17" s="12">
        <v>1.4332736126425779E-52</v>
      </c>
      <c r="F17" s="12">
        <v>421996.33115660062</v>
      </c>
      <c r="G17" s="12">
        <v>479529.19076466805</v>
      </c>
      <c r="H17" s="12">
        <v>421996.33115660062</v>
      </c>
      <c r="I17" s="12">
        <v>479529.19076466805</v>
      </c>
    </row>
    <row r="18" spans="1:9" ht="15" thickBot="1">
      <c r="A18" s="13" t="s">
        <v>5</v>
      </c>
      <c r="B18" s="13">
        <v>34.878755637159401</v>
      </c>
      <c r="C18" s="13">
        <v>2.1473766300909296</v>
      </c>
      <c r="D18" s="13">
        <v>16.242495679801859</v>
      </c>
      <c r="E18" s="13">
        <v>1.5004905617637723E-29</v>
      </c>
      <c r="F18" s="13">
        <v>30.61735660217186</v>
      </c>
      <c r="G18" s="13">
        <v>39.140154672146942</v>
      </c>
      <c r="H18" s="13">
        <v>30.61735660217186</v>
      </c>
      <c r="I18" s="13">
        <v>39.140154672146942</v>
      </c>
    </row>
  </sheetData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1"/>
  <sheetViews>
    <sheetView workbookViewId="0">
      <selection activeCell="Q23" sqref="Q23"/>
    </sheetView>
  </sheetViews>
  <sheetFormatPr defaultRowHeight="14.25"/>
  <cols>
    <col min="1" max="1" width="9.875" bestFit="1" customWidth="1"/>
    <col min="2" max="2" width="7" bestFit="1" customWidth="1"/>
    <col min="3" max="3" width="8.75" bestFit="1" customWidth="1"/>
    <col min="9" max="9" width="9.875" bestFit="1" customWidth="1"/>
    <col min="10" max="10" width="8.75" bestFit="1" customWidth="1"/>
    <col min="11" max="11" width="8.625" bestFit="1" customWidth="1"/>
    <col min="13" max="13" width="8.125" bestFit="1" customWidth="1"/>
    <col min="14" max="14" width="13.375" customWidth="1"/>
    <col min="15" max="15" width="13.875" customWidth="1"/>
    <col min="16" max="16" width="12.625" customWidth="1"/>
  </cols>
  <sheetData>
    <row r="1" spans="1:16" ht="4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2" t="s">
        <v>118</v>
      </c>
      <c r="K1" s="2" t="s">
        <v>119</v>
      </c>
      <c r="L1" s="2" t="s">
        <v>120</v>
      </c>
      <c r="M1" s="2" t="s">
        <v>121</v>
      </c>
      <c r="N1" s="2" t="s">
        <v>146</v>
      </c>
      <c r="O1" s="2" t="s">
        <v>131</v>
      </c>
      <c r="P1" s="2" t="s">
        <v>147</v>
      </c>
    </row>
    <row r="2" spans="1:16">
      <c r="A2" s="3">
        <v>141540.29</v>
      </c>
      <c r="B2" s="3">
        <v>5400</v>
      </c>
      <c r="C2" s="3">
        <v>1.2999999999999999E-2</v>
      </c>
      <c r="D2" s="3">
        <v>12</v>
      </c>
      <c r="E2" s="3">
        <v>87</v>
      </c>
      <c r="F2" s="3">
        <v>4.26</v>
      </c>
      <c r="G2" s="3">
        <v>0</v>
      </c>
      <c r="H2" s="3">
        <v>4.5</v>
      </c>
      <c r="I2" s="3">
        <v>627171.9</v>
      </c>
      <c r="J2">
        <v>0</v>
      </c>
      <c r="K2">
        <v>1</v>
      </c>
      <c r="L2">
        <v>1</v>
      </c>
      <c r="M2">
        <v>0</v>
      </c>
      <c r="N2">
        <f>80932.3403+(A2*1.00478527)+(B2*31.2531946)+(C2*-114994.58)+(D2*908.742526)+(E2*2836.50299)+(F2*-3518.8948)+(G2*22177.7478)+(H2*23748.7981)</f>
        <v>739982.03014752851</v>
      </c>
      <c r="O2">
        <f>I2-N2</f>
        <v>-112810.13014752849</v>
      </c>
      <c r="P2">
        <f>O2^2</f>
        <v>12726125463.902315</v>
      </c>
    </row>
    <row r="3" spans="1:16">
      <c r="A3" s="3">
        <v>32834.480000000003</v>
      </c>
      <c r="B3" s="3">
        <v>7576</v>
      </c>
      <c r="C3" s="3">
        <v>9.9000000000000005E-2</v>
      </c>
      <c r="D3" s="3">
        <v>15</v>
      </c>
      <c r="E3" s="3">
        <v>84.1</v>
      </c>
      <c r="F3" s="3">
        <v>3.48</v>
      </c>
      <c r="G3" s="3">
        <v>0</v>
      </c>
      <c r="H3" s="3">
        <v>5</v>
      </c>
      <c r="I3" s="3">
        <v>593637.14</v>
      </c>
      <c r="J3">
        <v>0</v>
      </c>
      <c r="K3">
        <v>0</v>
      </c>
      <c r="L3">
        <v>0</v>
      </c>
      <c r="M3">
        <v>0</v>
      </c>
      <c r="N3">
        <f>80932.3403+(A3*1.00478527)+(B3*31.2531946)+(C3*-114994.58)+(D3*908.742526)+(E3*2836.50299)+(F3*-3518.8948)+(G3*22177.7478)+(H3*23748.7981)</f>
        <v>697992.95696670958</v>
      </c>
      <c r="O3">
        <f>I3-N3</f>
        <v>-104355.81696670956</v>
      </c>
      <c r="P3">
        <f>O3^2</f>
        <v>10890136534.789389</v>
      </c>
    </row>
    <row r="4" spans="1:16">
      <c r="A4" s="3">
        <v>30356.28</v>
      </c>
      <c r="B4" s="3">
        <v>2822</v>
      </c>
      <c r="C4" s="3">
        <v>0.23100000000000001</v>
      </c>
      <c r="D4" s="3">
        <v>9</v>
      </c>
      <c r="E4" s="3">
        <v>84.8</v>
      </c>
      <c r="F4" s="3">
        <v>6.95</v>
      </c>
      <c r="G4" s="3">
        <v>0</v>
      </c>
      <c r="H4" s="3">
        <v>5</v>
      </c>
      <c r="I4" s="3">
        <v>415721.82</v>
      </c>
      <c r="J4">
        <v>1</v>
      </c>
      <c r="K4">
        <v>0</v>
      </c>
      <c r="L4">
        <v>0</v>
      </c>
      <c r="M4">
        <v>0</v>
      </c>
      <c r="N4">
        <f>80932.3403+(A4*1.00478527)+(B4*31.2531946)+(C4*-114994.58)+(D4*908.742526)+(E4*2836.50299)+(F4*-3518.8948)+(G4*22177.7478)+(H4*23748.7981)</f>
        <v>516068.45840319566</v>
      </c>
      <c r="O4">
        <f>I4-N4</f>
        <v>-100346.63840319565</v>
      </c>
      <c r="P4">
        <f>O4^2</f>
        <v>10069447838.821701</v>
      </c>
    </row>
    <row r="5" spans="1:16">
      <c r="A5" s="3">
        <v>79346.100000000006</v>
      </c>
      <c r="B5" s="3">
        <v>9628</v>
      </c>
      <c r="C5" s="3">
        <v>0.10199999999999999</v>
      </c>
      <c r="D5" s="3">
        <v>20</v>
      </c>
      <c r="E5" s="3">
        <v>99</v>
      </c>
      <c r="F5" s="3">
        <v>19.010000000000002</v>
      </c>
      <c r="G5" s="3">
        <v>1</v>
      </c>
      <c r="H5" s="3">
        <v>3.2</v>
      </c>
      <c r="I5" s="3">
        <v>685379.08</v>
      </c>
      <c r="J5">
        <v>0</v>
      </c>
      <c r="K5">
        <v>0</v>
      </c>
      <c r="L5">
        <v>0</v>
      </c>
      <c r="M5">
        <v>0</v>
      </c>
      <c r="N5">
        <f>80932.3403+(A5*1.00478527)+(B5*31.2531946)+(C5*-114994.58)+(D5*908.742526)+(E5*2836.50299)+(F5*-3518.8948)+(G5*22177.7478)+(H5*23748.7981)</f>
        <v>780102.80136274698</v>
      </c>
      <c r="O5">
        <f>I5-N5</f>
        <v>-94723.721362747019</v>
      </c>
      <c r="P5">
        <f>O5^2</f>
        <v>8972583388.8073368</v>
      </c>
    </row>
    <row r="6" spans="1:16">
      <c r="A6" s="3">
        <v>56856.63</v>
      </c>
      <c r="B6" s="3">
        <v>9431</v>
      </c>
      <c r="C6" s="3">
        <v>0.14199999999999999</v>
      </c>
      <c r="D6" s="3">
        <v>23</v>
      </c>
      <c r="E6" s="3">
        <v>86.9</v>
      </c>
      <c r="F6" s="3">
        <v>4.97</v>
      </c>
      <c r="G6" s="3">
        <v>0</v>
      </c>
      <c r="H6" s="3">
        <v>3.4</v>
      </c>
      <c r="I6" s="3">
        <v>658920.30000000005</v>
      </c>
      <c r="J6">
        <v>0</v>
      </c>
      <c r="K6">
        <v>0</v>
      </c>
      <c r="L6">
        <v>0</v>
      </c>
      <c r="M6">
        <v>0</v>
      </c>
      <c r="N6">
        <f>80932.3403+(A6*1.00478527)+(B6*31.2531946)+(C6*-114994.58)+(D6*908.742526)+(E6*2836.50299)+(F6*-3518.8948)+(G6*22177.7478)+(H6*23748.7981)</f>
        <v>747130.88685144007</v>
      </c>
      <c r="O6">
        <f>I6-N6</f>
        <v>-88210.586851440021</v>
      </c>
      <c r="P6">
        <f>O6^2</f>
        <v>7781107632.6754427</v>
      </c>
    </row>
    <row r="7" spans="1:16">
      <c r="A7" s="3">
        <v>138855.51</v>
      </c>
      <c r="B7" s="3">
        <v>5145</v>
      </c>
      <c r="C7" s="3">
        <v>0.06</v>
      </c>
      <c r="D7" s="3">
        <v>17</v>
      </c>
      <c r="E7" s="3">
        <v>88.2</v>
      </c>
      <c r="F7" s="3">
        <v>9.58</v>
      </c>
      <c r="G7" s="3">
        <v>0</v>
      </c>
      <c r="H7" s="3">
        <v>3.2</v>
      </c>
      <c r="I7" s="3">
        <v>595467.6</v>
      </c>
      <c r="J7">
        <v>0</v>
      </c>
      <c r="K7">
        <v>0</v>
      </c>
      <c r="L7">
        <v>0</v>
      </c>
      <c r="M7">
        <v>0</v>
      </c>
      <c r="N7">
        <f>80932.3403+(A7*1.00478527)+(B7*31.2531946)+(C7*-114994.58)+(D7*908.742526)+(E7*2836.50299)+(F7*-3518.8948)+(G7*22177.7478)+(H7*23748.7981)</f>
        <v>682263.65121933771</v>
      </c>
      <c r="O7">
        <f>I7-N7</f>
        <v>-86796.051219337736</v>
      </c>
      <c r="P7">
        <f>O7^2</f>
        <v>7533554507.2698994</v>
      </c>
    </row>
    <row r="8" spans="1:16">
      <c r="A8" s="3">
        <v>50735.63</v>
      </c>
      <c r="B8" s="3">
        <v>9619</v>
      </c>
      <c r="C8" s="3">
        <v>0.14399999999999999</v>
      </c>
      <c r="D8" s="3">
        <v>19</v>
      </c>
      <c r="E8" s="3">
        <v>93.8</v>
      </c>
      <c r="F8" s="3">
        <v>5.12</v>
      </c>
      <c r="G8" s="3">
        <v>1</v>
      </c>
      <c r="H8" s="3">
        <v>4.5</v>
      </c>
      <c r="I8" s="3">
        <v>725235.28</v>
      </c>
      <c r="J8">
        <v>0</v>
      </c>
      <c r="K8">
        <v>0</v>
      </c>
      <c r="L8">
        <v>0</v>
      </c>
      <c r="M8">
        <v>0</v>
      </c>
      <c r="N8">
        <f>80932.3403+(A8*1.00478527)+(B8*31.2531946)+(C8*-114994.58)+(D8*908.742526)+(E8*2836.50299)+(F8*-3518.8948)+(G8*22177.7478)+(H8*23748.7981)</f>
        <v>810336.69965557009</v>
      </c>
      <c r="O8">
        <f>I8-N8</f>
        <v>-85101.419655570062</v>
      </c>
      <c r="P8">
        <f>O8^2</f>
        <v>7242251627.3934469</v>
      </c>
    </row>
    <row r="9" spans="1:16">
      <c r="A9" s="3">
        <v>76614.320000000007</v>
      </c>
      <c r="B9" s="3">
        <v>5639</v>
      </c>
      <c r="C9" s="3">
        <v>0.17399999999999999</v>
      </c>
      <c r="D9" s="3">
        <v>15</v>
      </c>
      <c r="E9" s="3">
        <v>92.9</v>
      </c>
      <c r="F9" s="3">
        <v>1.02</v>
      </c>
      <c r="G9" s="3">
        <v>1</v>
      </c>
      <c r="H9" s="3">
        <v>4</v>
      </c>
      <c r="I9" s="3">
        <v>620264.19999999995</v>
      </c>
      <c r="J9">
        <v>0</v>
      </c>
      <c r="K9">
        <v>0</v>
      </c>
      <c r="L9">
        <v>0</v>
      </c>
      <c r="M9">
        <v>0</v>
      </c>
      <c r="N9">
        <f>80932.3403+(A9*1.00478527)+(B9*31.2531946)+(C9*-114994.58)+(D9*908.742526)+(E9*2836.50299)+(F9*-3518.8948)+(G9*22177.7478)+(H9*23748.7981)</f>
        <v>704866.92110146652</v>
      </c>
      <c r="O9">
        <f>I9-N9</f>
        <v>-84602.721101466566</v>
      </c>
      <c r="P9">
        <f>O9^2</f>
        <v>7157620417.7725363</v>
      </c>
    </row>
    <row r="10" spans="1:16">
      <c r="A10" s="3">
        <v>68600.62</v>
      </c>
      <c r="B10" s="3">
        <v>3988</v>
      </c>
      <c r="C10" s="3">
        <v>0.124</v>
      </c>
      <c r="D10" s="3">
        <v>11</v>
      </c>
      <c r="E10" s="3">
        <v>85</v>
      </c>
      <c r="F10" s="3">
        <v>0.48</v>
      </c>
      <c r="G10" s="3">
        <v>0</v>
      </c>
      <c r="H10" s="3">
        <v>3.6</v>
      </c>
      <c r="I10" s="3">
        <v>511844.41</v>
      </c>
      <c r="J10">
        <v>0</v>
      </c>
      <c r="K10">
        <v>0</v>
      </c>
      <c r="L10">
        <v>0</v>
      </c>
      <c r="M10">
        <v>0</v>
      </c>
      <c r="N10">
        <f>80932.3403+(A10*1.00478527)+(B10*31.2531946)+(C10*-114994.58)+(D10*908.742526)+(E10*2836.50299)+(F10*-3518.8948)+(G10*22177.7478)+(H10*23748.7981)</f>
        <v>595145.17052566737</v>
      </c>
      <c r="O10">
        <f>I10-N10</f>
        <v>-83300.7605256674</v>
      </c>
      <c r="P10">
        <f>O10^2</f>
        <v>6939016704.1545877</v>
      </c>
    </row>
    <row r="11" spans="1:16">
      <c r="A11" s="3">
        <v>54597.83</v>
      </c>
      <c r="B11" s="3">
        <v>9429</v>
      </c>
      <c r="C11" s="3">
        <v>0.188</v>
      </c>
      <c r="D11" s="3">
        <v>21</v>
      </c>
      <c r="E11" s="3">
        <v>83.3</v>
      </c>
      <c r="F11" s="3">
        <v>11.71</v>
      </c>
      <c r="G11" s="3">
        <v>0</v>
      </c>
      <c r="H11" s="3">
        <v>4.2</v>
      </c>
      <c r="I11" s="3">
        <v>641865.03</v>
      </c>
      <c r="J11">
        <v>1</v>
      </c>
      <c r="K11">
        <v>0</v>
      </c>
      <c r="L11">
        <v>0</v>
      </c>
      <c r="M11">
        <v>0</v>
      </c>
      <c r="N11">
        <f>80932.3403+(A11*1.00478527)+(B11*31.2531946)+(C11*-114994.58)+(D11*908.742526)+(E11*2836.50299)+(F11*-3518.8948)+(G11*22177.7478)+(H11*23748.7981)</f>
        <v>722761.812526364</v>
      </c>
      <c r="O11">
        <f>I11-N11</f>
        <v>-80896.782526363968</v>
      </c>
      <c r="P11">
        <f>O11^2</f>
        <v>6544289423.1178265</v>
      </c>
    </row>
    <row r="12" spans="1:16">
      <c r="A12" s="3">
        <v>71320.66</v>
      </c>
      <c r="B12" s="3">
        <v>7888</v>
      </c>
      <c r="C12" s="3">
        <v>4.8000000000000001E-2</v>
      </c>
      <c r="D12" s="3">
        <v>20</v>
      </c>
      <c r="E12" s="3">
        <v>78.099999999999994</v>
      </c>
      <c r="F12" s="3">
        <v>3.4</v>
      </c>
      <c r="G12" s="3">
        <v>0</v>
      </c>
      <c r="H12" s="3">
        <v>3.92</v>
      </c>
      <c r="I12" s="3">
        <v>633638.03</v>
      </c>
      <c r="J12">
        <v>0</v>
      </c>
      <c r="K12">
        <v>1</v>
      </c>
      <c r="L12">
        <v>0</v>
      </c>
      <c r="M12">
        <v>0</v>
      </c>
      <c r="N12">
        <f>80932.3403+(A12*1.00478527)+(B12*31.2531946)+(C12*-114994.58)+(D12*908.742526)+(E12*2836.50299)+(F12*-3518.8948)+(G12*22177.7478)+(H12*23748.7981)</f>
        <v>714436.52835047815</v>
      </c>
      <c r="O12">
        <f>I12-N12</f>
        <v>-80798.498350478127</v>
      </c>
      <c r="P12">
        <f>O12^2</f>
        <v>6528397335.6922169</v>
      </c>
    </row>
    <row r="13" spans="1:16">
      <c r="A13" s="3">
        <v>48752.92</v>
      </c>
      <c r="B13" s="3">
        <v>8052</v>
      </c>
      <c r="C13" s="3">
        <v>0.106</v>
      </c>
      <c r="D13" s="3">
        <v>16</v>
      </c>
      <c r="E13" s="3">
        <v>94.9</v>
      </c>
      <c r="F13" s="3">
        <v>0.65</v>
      </c>
      <c r="G13" s="3">
        <v>0</v>
      </c>
      <c r="H13" s="3">
        <v>3.6</v>
      </c>
      <c r="I13" s="3">
        <v>660633.99</v>
      </c>
      <c r="J13">
        <v>0</v>
      </c>
      <c r="K13">
        <v>0</v>
      </c>
      <c r="L13">
        <v>1</v>
      </c>
      <c r="M13">
        <v>0</v>
      </c>
      <c r="N13">
        <f>80932.3403+(A13*1.00478527)+(B13*31.2531946)+(C13*-114994.58)+(D13*908.742526)+(E13*2836.50299)+(F13*-3518.8948)+(G13*22177.7478)+(H13*23748.7981)</f>
        <v>736312.25933168828</v>
      </c>
      <c r="O13">
        <f>I13-N13</f>
        <v>-75678.269331688294</v>
      </c>
      <c r="P13">
        <f>O13^2</f>
        <v>5727200449.0395527</v>
      </c>
    </row>
    <row r="14" spans="1:16">
      <c r="A14" s="3">
        <v>53762.92</v>
      </c>
      <c r="B14" s="3">
        <v>6821</v>
      </c>
      <c r="C14" s="3">
        <v>6.6000000000000003E-2</v>
      </c>
      <c r="D14" s="3">
        <v>19</v>
      </c>
      <c r="E14" s="3">
        <v>94.6</v>
      </c>
      <c r="F14" s="3">
        <v>7.03</v>
      </c>
      <c r="G14" s="3">
        <v>0</v>
      </c>
      <c r="H14" s="3">
        <v>4.4000000000000004</v>
      </c>
      <c r="I14" s="3">
        <v>630829.93999999994</v>
      </c>
      <c r="J14">
        <v>0</v>
      </c>
      <c r="K14">
        <v>0</v>
      </c>
      <c r="L14">
        <v>0</v>
      </c>
      <c r="M14">
        <v>0</v>
      </c>
      <c r="N14">
        <f>80932.3403+(A14*1.00478527)+(B14*31.2531946)+(C14*-114994.58)+(D14*908.742526)+(E14*2836.50299)+(F14*-3518.8948)+(G14*22177.7478)+(H14*23748.7981)</f>
        <v>705897.10051878833</v>
      </c>
      <c r="O14">
        <f>I14-N14</f>
        <v>-75067.160518788383</v>
      </c>
      <c r="P14">
        <f>O14^2</f>
        <v>5635078588.3535414</v>
      </c>
    </row>
    <row r="15" spans="1:16">
      <c r="A15" s="3">
        <v>35203.230000000003</v>
      </c>
      <c r="B15" s="3">
        <v>6896</v>
      </c>
      <c r="C15" s="3">
        <v>3.2000000000000001E-2</v>
      </c>
      <c r="D15" s="3">
        <v>14</v>
      </c>
      <c r="E15" s="3">
        <v>80.8</v>
      </c>
      <c r="F15" s="3">
        <v>8.44</v>
      </c>
      <c r="G15" s="3">
        <v>1</v>
      </c>
      <c r="H15" s="3">
        <v>5</v>
      </c>
      <c r="I15" s="3">
        <v>607084.92000000004</v>
      </c>
      <c r="J15">
        <v>0</v>
      </c>
      <c r="K15">
        <v>0</v>
      </c>
      <c r="L15">
        <v>0</v>
      </c>
      <c r="M15">
        <v>0</v>
      </c>
      <c r="N15">
        <f>80932.3403+(A15*1.00478527)+(B15*31.2531946)+(C15*-114994.58)+(D15*908.742526)+(E15*2836.50299)+(F15*-3518.8948)+(G15*22177.7478)+(H15*23748.7981)</f>
        <v>681280.33380602207</v>
      </c>
      <c r="O15">
        <f>I15-N15</f>
        <v>-74195.413806022028</v>
      </c>
      <c r="P15">
        <f>O15^2</f>
        <v>5504959429.8468447</v>
      </c>
    </row>
    <row r="16" spans="1:16">
      <c r="A16" s="3">
        <v>45940.39</v>
      </c>
      <c r="B16" s="3">
        <v>4022</v>
      </c>
      <c r="C16" s="3">
        <v>6.9000000000000006E-2</v>
      </c>
      <c r="D16" s="3">
        <v>10</v>
      </c>
      <c r="E16" s="3">
        <v>83</v>
      </c>
      <c r="F16" s="3">
        <v>1.23</v>
      </c>
      <c r="G16" s="3">
        <v>1</v>
      </c>
      <c r="H16" s="3">
        <v>3.8</v>
      </c>
      <c r="I16" s="3">
        <v>524899.56999999995</v>
      </c>
      <c r="J16">
        <v>0</v>
      </c>
      <c r="K16">
        <v>1</v>
      </c>
      <c r="L16">
        <v>0</v>
      </c>
      <c r="M16">
        <v>0</v>
      </c>
      <c r="N16">
        <f>80932.3403+(A16*1.00478527)+(B16*31.2531946)+(C16*-114994.58)+(D16*908.742526)+(E16*2836.50299)+(F16*-3518.8948)+(G16*22177.7478)+(H16*23748.7981)</f>
        <v>597470.40353725536</v>
      </c>
      <c r="O16">
        <f>I16-N16</f>
        <v>-72570.833537255414</v>
      </c>
      <c r="P16">
        <f>O16^2</f>
        <v>5266525880.2920351</v>
      </c>
    </row>
    <row r="17" spans="1:16">
      <c r="A17" s="3">
        <v>29344.93</v>
      </c>
      <c r="B17" s="3">
        <v>7446</v>
      </c>
      <c r="C17" s="3">
        <v>0.111</v>
      </c>
      <c r="D17" s="3">
        <v>15</v>
      </c>
      <c r="E17" s="3">
        <v>86.2</v>
      </c>
      <c r="F17" s="3">
        <v>0.2</v>
      </c>
      <c r="G17" s="3">
        <v>0</v>
      </c>
      <c r="H17" s="3">
        <v>3.2</v>
      </c>
      <c r="I17" s="3">
        <v>593343</v>
      </c>
      <c r="J17">
        <v>0</v>
      </c>
      <c r="K17">
        <v>0</v>
      </c>
      <c r="L17">
        <v>1</v>
      </c>
      <c r="M17">
        <v>0</v>
      </c>
      <c r="N17">
        <f>80932.3403+(A17*1.00478527)+(B17*31.2531946)+(C17*-114994.58)+(D17*908.742526)+(E17*2836.50299)+(F17*-3518.8948)+(G17*22177.7478)+(H17*23748.7981)</f>
        <v>663794.65291278111</v>
      </c>
      <c r="O17">
        <f>I17-N17</f>
        <v>-70451.652912781108</v>
      </c>
      <c r="P17">
        <f>O17^2</f>
        <v>4963435398.1429787</v>
      </c>
    </row>
    <row r="18" spans="1:16">
      <c r="A18" s="3">
        <v>37324.230000000003</v>
      </c>
      <c r="B18" s="3">
        <v>5957</v>
      </c>
      <c r="C18" s="3">
        <v>7.0999999999999994E-2</v>
      </c>
      <c r="D18" s="3">
        <v>12</v>
      </c>
      <c r="E18" s="3">
        <v>85.9</v>
      </c>
      <c r="F18" s="3">
        <v>0.37</v>
      </c>
      <c r="G18" s="3">
        <v>0</v>
      </c>
      <c r="H18" s="3">
        <v>3.8</v>
      </c>
      <c r="I18" s="3">
        <v>570963.31000000006</v>
      </c>
      <c r="J18">
        <v>0</v>
      </c>
      <c r="K18">
        <v>0</v>
      </c>
      <c r="L18">
        <v>0</v>
      </c>
      <c r="M18">
        <v>0</v>
      </c>
      <c r="N18">
        <f>80932.3403+(A18*1.00478527)+(B18*31.2531946)+(C18*-114994.58)+(D18*908.742526)+(E18*2836.50299)+(F18*-3518.8948)+(G18*22177.7478)+(H18*23748.7981)</f>
        <v>639949.80072729208</v>
      </c>
      <c r="O18">
        <f>I18-N18</f>
        <v>-68986.490727292025</v>
      </c>
      <c r="P18">
        <f>O18^2</f>
        <v>4759135902.8667488</v>
      </c>
    </row>
    <row r="19" spans="1:16">
      <c r="A19" s="3">
        <v>55716.82</v>
      </c>
      <c r="B19" s="3">
        <v>10054</v>
      </c>
      <c r="C19" s="3">
        <v>0.14599999999999999</v>
      </c>
      <c r="D19" s="3">
        <v>24</v>
      </c>
      <c r="E19" s="3">
        <v>84.9</v>
      </c>
      <c r="F19" s="3">
        <v>1.06</v>
      </c>
      <c r="G19" s="3">
        <v>0</v>
      </c>
      <c r="H19" s="3">
        <v>4.3</v>
      </c>
      <c r="I19" s="3">
        <v>726606.28</v>
      </c>
      <c r="J19">
        <v>0</v>
      </c>
      <c r="K19">
        <v>0</v>
      </c>
      <c r="L19">
        <v>0</v>
      </c>
      <c r="M19">
        <v>0</v>
      </c>
      <c r="N19">
        <f>80932.3403+(A19*1.00478527)+(B19*31.2531946)+(C19*-114994.58)+(D19*908.742526)+(E19*2836.50299)+(F19*-3518.8948)+(G19*22177.7478)+(H19*23748.7981)</f>
        <v>795364.91797264141</v>
      </c>
      <c r="O19">
        <f>I19-N19</f>
        <v>-68758.637972641387</v>
      </c>
      <c r="P19">
        <f>O19^2</f>
        <v>4727750295.8527622</v>
      </c>
    </row>
    <row r="20" spans="1:16">
      <c r="A20" s="3">
        <v>56413.83</v>
      </c>
      <c r="B20" s="3">
        <v>8303</v>
      </c>
      <c r="C20" s="3">
        <v>0.11600000000000001</v>
      </c>
      <c r="D20" s="3">
        <v>18</v>
      </c>
      <c r="E20" s="3">
        <v>93.6</v>
      </c>
      <c r="F20" s="3">
        <v>2.7</v>
      </c>
      <c r="G20" s="3">
        <v>0</v>
      </c>
      <c r="H20" s="3">
        <v>3.7</v>
      </c>
      <c r="I20" s="3">
        <v>675917.63</v>
      </c>
      <c r="J20">
        <v>0</v>
      </c>
      <c r="K20">
        <v>0</v>
      </c>
      <c r="L20">
        <v>1</v>
      </c>
      <c r="M20">
        <v>0</v>
      </c>
      <c r="N20">
        <f>80932.3403+(A20*1.00478527)+(B20*31.2531946)+(C20*-114994.58)+(D20*908.742526)+(E20*2836.50299)+(F20*-3518.8948)+(G20*22177.7478)+(H20*23748.7981)</f>
        <v>743995.61153408408</v>
      </c>
      <c r="O20">
        <f>I20-N20</f>
        <v>-68077.981534084072</v>
      </c>
      <c r="P20">
        <f>O20^2</f>
        <v>4634611569.7550917</v>
      </c>
    </row>
    <row r="21" spans="1:16">
      <c r="A21" s="3">
        <v>73771.91</v>
      </c>
      <c r="B21" s="3">
        <v>11695</v>
      </c>
      <c r="C21" s="3">
        <v>7.0000000000000007E-2</v>
      </c>
      <c r="D21" s="3">
        <v>25</v>
      </c>
      <c r="E21" s="3">
        <v>84.7</v>
      </c>
      <c r="F21" s="3">
        <v>0.62</v>
      </c>
      <c r="G21" s="3">
        <v>0</v>
      </c>
      <c r="H21" s="3">
        <v>3.92</v>
      </c>
      <c r="I21" s="3">
        <v>799477.76000000001</v>
      </c>
      <c r="J21">
        <v>1</v>
      </c>
      <c r="K21">
        <v>0</v>
      </c>
      <c r="L21">
        <v>0</v>
      </c>
      <c r="M21">
        <v>0</v>
      </c>
      <c r="N21">
        <f>80932.3403+(A21*1.00478527)+(B21*31.2531946)+(C21*-114994.58)+(D21*908.742526)+(E21*2836.50299)+(F21*-3518.8948)+(G21*22177.7478)+(H21*23748.7981)</f>
        <v>866397.6992337656</v>
      </c>
      <c r="O21">
        <f>I21-N21</f>
        <v>-66919.939233765588</v>
      </c>
      <c r="P21">
        <f>O21^2</f>
        <v>4478278267.0508785</v>
      </c>
    </row>
    <row r="22" spans="1:16">
      <c r="A22" s="3">
        <v>54966.18</v>
      </c>
      <c r="B22" s="3">
        <v>4423</v>
      </c>
      <c r="C22" s="3">
        <v>0.186</v>
      </c>
      <c r="D22" s="3">
        <v>13</v>
      </c>
      <c r="E22" s="3">
        <v>88.7</v>
      </c>
      <c r="F22" s="3">
        <v>0.2</v>
      </c>
      <c r="G22" s="3">
        <v>0</v>
      </c>
      <c r="H22" s="3">
        <v>4.4000000000000004</v>
      </c>
      <c r="I22" s="3">
        <v>554012.06999999995</v>
      </c>
      <c r="J22">
        <v>0</v>
      </c>
      <c r="K22">
        <v>0</v>
      </c>
      <c r="L22">
        <v>0</v>
      </c>
      <c r="M22">
        <v>0</v>
      </c>
      <c r="N22">
        <f>80932.3403+(A22*1.00478527)+(B22*31.2531946)+(C22*-114994.58)+(D22*908.742526)+(E22*2836.50299)+(F22*-3518.8948)+(G22*22177.7478)+(H22*23748.7981)</f>
        <v>620207.83687896864</v>
      </c>
      <c r="O22">
        <f>I22-N22</f>
        <v>-66195.766878968687</v>
      </c>
      <c r="P22">
        <f>O22^2</f>
        <v>4381879552.694768</v>
      </c>
    </row>
    <row r="23" spans="1:16">
      <c r="A23" s="3">
        <v>22071.64</v>
      </c>
      <c r="B23" s="3">
        <v>1814</v>
      </c>
      <c r="C23" s="3">
        <v>0.19600000000000001</v>
      </c>
      <c r="D23" s="3">
        <v>8</v>
      </c>
      <c r="E23" s="3">
        <v>81.099999999999994</v>
      </c>
      <c r="F23" s="3">
        <v>0.78</v>
      </c>
      <c r="G23" s="3">
        <v>0</v>
      </c>
      <c r="H23" s="3">
        <v>3.92</v>
      </c>
      <c r="I23" s="3">
        <v>400831.65</v>
      </c>
      <c r="J23">
        <v>1</v>
      </c>
      <c r="K23">
        <v>0</v>
      </c>
      <c r="L23">
        <v>0</v>
      </c>
      <c r="M23">
        <v>0</v>
      </c>
      <c r="N23">
        <f>80932.3403+(A23*1.00478527)+(B23*31.2531946)+(C23*-114994.58)+(D23*908.742526)+(E23*2836.50299)+(F23*-3518.8948)+(G23*22177.7478)+(H23*23748.7981)</f>
        <v>464924.8396861428</v>
      </c>
      <c r="O23">
        <f>I23-N23</f>
        <v>-64093.189686142781</v>
      </c>
      <c r="P23">
        <f>O23^2</f>
        <v>4107936964.1438794</v>
      </c>
    </row>
    <row r="24" spans="1:16">
      <c r="A24" s="3">
        <v>27808.6</v>
      </c>
      <c r="B24" s="3">
        <v>2863</v>
      </c>
      <c r="C24" s="3">
        <v>0.08</v>
      </c>
      <c r="D24" s="3">
        <v>13</v>
      </c>
      <c r="E24" s="3">
        <v>89.3</v>
      </c>
      <c r="F24" s="3">
        <v>0.47</v>
      </c>
      <c r="G24" s="3">
        <v>0</v>
      </c>
      <c r="H24" s="3">
        <v>4.0999999999999996</v>
      </c>
      <c r="I24" s="3">
        <v>487464.91</v>
      </c>
      <c r="J24">
        <v>0</v>
      </c>
      <c r="K24">
        <v>0</v>
      </c>
      <c r="L24">
        <v>0</v>
      </c>
      <c r="M24">
        <v>0</v>
      </c>
      <c r="N24">
        <f>80932.3403+(A24*1.00478527)+(B24*31.2531946)+(C24*-114994.58)+(D24*908.742526)+(E24*2836.50299)+(F24*-3518.8948)+(G24*22177.7478)+(H24*23748.7981)</f>
        <v>549981.90319812193</v>
      </c>
      <c r="O24">
        <f>I24-N24</f>
        <v>-62516.993198121956</v>
      </c>
      <c r="P24">
        <f>O24^2</f>
        <v>3908374438.5340271</v>
      </c>
    </row>
    <row r="25" spans="1:16">
      <c r="A25" s="3">
        <v>60183.06</v>
      </c>
      <c r="B25" s="3">
        <v>5562</v>
      </c>
      <c r="C25" s="3">
        <v>8.9999999999999993E-3</v>
      </c>
      <c r="D25" s="3">
        <v>13</v>
      </c>
      <c r="E25" s="3">
        <v>86.3</v>
      </c>
      <c r="F25" s="3">
        <v>0.2</v>
      </c>
      <c r="G25" s="3">
        <v>1</v>
      </c>
      <c r="H25" s="3">
        <v>4.5</v>
      </c>
      <c r="I25" s="3">
        <v>636775.66</v>
      </c>
      <c r="J25">
        <v>0</v>
      </c>
      <c r="K25">
        <v>0</v>
      </c>
      <c r="L25">
        <v>0</v>
      </c>
      <c r="M25">
        <v>0</v>
      </c>
      <c r="N25">
        <f>80932.3403+(A25*1.00478527)+(B25*31.2531946)+(C25*-114994.58)+(D25*908.742526)+(E25*2836.50299)+(F25*-3518.8948)+(G25*22177.7478)+(H25*23748.7981)</f>
        <v>699146.13080172613</v>
      </c>
      <c r="O25">
        <f>I25-N25</f>
        <v>-62370.4708017261</v>
      </c>
      <c r="P25">
        <f>O25^2</f>
        <v>3890075628.0289679</v>
      </c>
    </row>
    <row r="26" spans="1:16">
      <c r="A26" s="3">
        <v>46146.239999999998</v>
      </c>
      <c r="B26" s="3">
        <v>5804</v>
      </c>
      <c r="C26" s="3">
        <v>4.7E-2</v>
      </c>
      <c r="D26" s="3">
        <v>16</v>
      </c>
      <c r="E26" s="3">
        <v>86.9</v>
      </c>
      <c r="F26" s="3">
        <v>15.82</v>
      </c>
      <c r="G26" s="3">
        <v>0</v>
      </c>
      <c r="H26" s="3">
        <v>3.8</v>
      </c>
      <c r="I26" s="3">
        <v>538376</v>
      </c>
      <c r="J26">
        <v>0</v>
      </c>
      <c r="K26">
        <v>1</v>
      </c>
      <c r="L26">
        <v>0</v>
      </c>
      <c r="M26">
        <v>0</v>
      </c>
      <c r="N26">
        <f>80932.3403+(A26*1.00478527)+(B26*31.2531946)+(C26*-114994.58)+(D26*908.742526)+(E26*2836.50299)+(F26*-3518.8948)+(G26*22177.7478)+(H26*23748.7981)</f>
        <v>598896.70600728481</v>
      </c>
      <c r="O26">
        <f>I26-N26</f>
        <v>-60520.706007284811</v>
      </c>
      <c r="P26">
        <f>O26^2</f>
        <v>3662755855.6201997</v>
      </c>
    </row>
    <row r="27" spans="1:16">
      <c r="A27" s="3">
        <v>46624.05</v>
      </c>
      <c r="B27" s="3">
        <v>5104</v>
      </c>
      <c r="C27" s="3">
        <v>0.109</v>
      </c>
      <c r="D27" s="3">
        <v>11</v>
      </c>
      <c r="E27" s="3">
        <v>97.3</v>
      </c>
      <c r="F27" s="3">
        <v>3.49</v>
      </c>
      <c r="G27" s="3">
        <v>1</v>
      </c>
      <c r="H27" s="3">
        <v>4.7</v>
      </c>
      <c r="I27" s="3">
        <v>622811.74</v>
      </c>
      <c r="J27">
        <v>1</v>
      </c>
      <c r="K27">
        <v>0</v>
      </c>
      <c r="L27">
        <v>1</v>
      </c>
      <c r="M27">
        <v>0</v>
      </c>
      <c r="N27">
        <f>80932.3403+(A27*1.00478527)+(B27*31.2531946)+(C27*-114994.58)+(D27*908.742526)+(E27*2836.50299)+(F27*-3518.8948)+(G27*22177.7478)+(H27*23748.7981)</f>
        <v>682265.45971714344</v>
      </c>
      <c r="O27">
        <f>I27-N27</f>
        <v>-59453.719717143453</v>
      </c>
      <c r="P27">
        <f>O27^2</f>
        <v>3534744788.2046523</v>
      </c>
    </row>
    <row r="28" spans="1:16">
      <c r="A28" s="3">
        <v>70276.28</v>
      </c>
      <c r="B28" s="3">
        <v>3043</v>
      </c>
      <c r="C28" s="3">
        <v>7.9000000000000001E-2</v>
      </c>
      <c r="D28" s="3">
        <v>9</v>
      </c>
      <c r="E28" s="3">
        <v>87.9</v>
      </c>
      <c r="F28" s="3">
        <v>3.77</v>
      </c>
      <c r="G28" s="3">
        <v>0</v>
      </c>
      <c r="H28" s="3">
        <v>4.4000000000000004</v>
      </c>
      <c r="I28" s="3">
        <v>527300.13</v>
      </c>
      <c r="J28">
        <v>1</v>
      </c>
      <c r="K28">
        <v>0</v>
      </c>
      <c r="L28">
        <v>0</v>
      </c>
      <c r="M28">
        <v>0</v>
      </c>
      <c r="N28">
        <f>80932.3403+(A28*1.00478527)+(B28*31.2531946)+(C28*-114994.58)+(D28*908.742526)+(E28*2836.50299)+(F28*-3518.8948)+(G28*22177.7478)+(H28*23748.7981)</f>
        <v>586299.58442119567</v>
      </c>
      <c r="O28">
        <f>I28-N28</f>
        <v>-58999.454421195667</v>
      </c>
      <c r="P28">
        <f>O28^2</f>
        <v>3480935621.998745</v>
      </c>
    </row>
    <row r="29" spans="1:16">
      <c r="A29" s="3">
        <v>22312.93</v>
      </c>
      <c r="B29" s="3">
        <v>5955</v>
      </c>
      <c r="C29" s="3">
        <v>0.123</v>
      </c>
      <c r="D29" s="3">
        <v>13</v>
      </c>
      <c r="E29" s="3">
        <v>84.2</v>
      </c>
      <c r="F29" s="3">
        <v>0.41</v>
      </c>
      <c r="G29" s="3">
        <v>1</v>
      </c>
      <c r="H29" s="3">
        <v>4.5999999999999996</v>
      </c>
      <c r="I29" s="3">
        <v>598904.9</v>
      </c>
      <c r="J29">
        <v>0</v>
      </c>
      <c r="K29">
        <v>0</v>
      </c>
      <c r="L29">
        <v>0</v>
      </c>
      <c r="M29">
        <v>0</v>
      </c>
      <c r="N29">
        <f>80932.3403+(A29*1.00478527)+(B29*31.2531946)+(C29*-114994.58)+(D29*908.742526)+(E29*2836.50299)+(F29*-3518.8948)+(G29*22177.7478)+(H29*23748.7981)</f>
        <v>655947.16098554106</v>
      </c>
      <c r="O29">
        <f>I29-N29</f>
        <v>-57042.260985541041</v>
      </c>
      <c r="P29">
        <f>O29^2</f>
        <v>3253819538.3425775</v>
      </c>
    </row>
    <row r="30" spans="1:16">
      <c r="A30" s="3">
        <v>43896.13</v>
      </c>
      <c r="B30" s="3">
        <v>3853</v>
      </c>
      <c r="C30" s="3">
        <v>8.7999999999999995E-2</v>
      </c>
      <c r="D30" s="3">
        <v>13</v>
      </c>
      <c r="E30" s="3">
        <v>83</v>
      </c>
      <c r="F30" s="3">
        <v>6.8</v>
      </c>
      <c r="G30" s="3">
        <v>0</v>
      </c>
      <c r="H30" s="3">
        <v>4.4000000000000004</v>
      </c>
      <c r="I30" s="3">
        <v>509484.81</v>
      </c>
      <c r="J30">
        <v>1</v>
      </c>
      <c r="K30">
        <v>0</v>
      </c>
      <c r="L30">
        <v>0</v>
      </c>
      <c r="M30">
        <v>0</v>
      </c>
      <c r="N30">
        <f>80932.3403+(A30*1.00478527)+(B30*31.2531946)+(C30*-114994.58)+(D30*908.742526)+(E30*2836.50299)+(F30*-3518.8948)+(G30*22177.7478)+(H30*23748.7981)</f>
        <v>563147.18889580516</v>
      </c>
      <c r="O30">
        <f>I30-N30</f>
        <v>-53662.378895805159</v>
      </c>
      <c r="P30">
        <f>O30^2</f>
        <v>2879650908.7569551</v>
      </c>
    </row>
    <row r="31" spans="1:16">
      <c r="A31" s="3">
        <v>48412.639999999999</v>
      </c>
      <c r="B31" s="3">
        <v>9545</v>
      </c>
      <c r="C31" s="3">
        <v>0.23100000000000001</v>
      </c>
      <c r="D31" s="3">
        <v>21</v>
      </c>
      <c r="E31" s="3">
        <v>97.6</v>
      </c>
      <c r="F31" s="3">
        <v>6.94</v>
      </c>
      <c r="G31" s="3">
        <v>1</v>
      </c>
      <c r="H31" s="3">
        <v>4.2</v>
      </c>
      <c r="I31" s="3">
        <v>741341.44</v>
      </c>
      <c r="J31">
        <v>0</v>
      </c>
      <c r="K31">
        <v>0</v>
      </c>
      <c r="L31">
        <v>0</v>
      </c>
      <c r="M31">
        <v>0</v>
      </c>
      <c r="N31">
        <f>80932.3403+(A31*1.00478527)+(B31*31.2531946)+(C31*-114994.58)+(D31*908.742526)+(E31*2836.50299)+(F31*-3518.8948)+(G31*22177.7478)+(H31*23748.7981)</f>
        <v>794752.49710881279</v>
      </c>
      <c r="O31">
        <f>I31-N31</f>
        <v>-53411.057108812849</v>
      </c>
      <c r="P31">
        <f>O31^2</f>
        <v>2852741021.4808674</v>
      </c>
    </row>
    <row r="32" spans="1:16">
      <c r="A32" s="3">
        <v>54479.33</v>
      </c>
      <c r="B32" s="3">
        <v>5012</v>
      </c>
      <c r="C32" s="3">
        <v>0.28399999999999997</v>
      </c>
      <c r="D32" s="3">
        <v>13</v>
      </c>
      <c r="E32" s="3">
        <v>86</v>
      </c>
      <c r="F32" s="3">
        <v>2.2400000000000002</v>
      </c>
      <c r="G32" s="3">
        <v>1</v>
      </c>
      <c r="H32" s="3">
        <v>4.3</v>
      </c>
      <c r="I32" s="3">
        <v>578949.84</v>
      </c>
      <c r="J32">
        <v>1</v>
      </c>
      <c r="K32">
        <v>0</v>
      </c>
      <c r="L32">
        <v>0</v>
      </c>
      <c r="M32">
        <v>0</v>
      </c>
      <c r="N32">
        <f>80932.3403+(A32*1.00478527)+(B32*31.2531946)+(C32*-114994.58)+(D32*908.742526)+(E32*2836.50299)+(F32*-3518.8948)+(G32*22177.7478)+(H32*23748.7981)</f>
        <v>631823.08447466907</v>
      </c>
      <c r="O32">
        <f>I32-N32</f>
        <v>-52873.244474669104</v>
      </c>
      <c r="P32">
        <f>O32^2</f>
        <v>2795579981.2781267</v>
      </c>
    </row>
    <row r="33" spans="1:16">
      <c r="A33" s="3">
        <v>70389.11</v>
      </c>
      <c r="B33" s="3">
        <v>8302</v>
      </c>
      <c r="C33" s="3">
        <v>4.2000000000000003E-2</v>
      </c>
      <c r="D33" s="3">
        <v>17</v>
      </c>
      <c r="E33" s="3">
        <v>75</v>
      </c>
      <c r="F33" s="3">
        <v>5.28</v>
      </c>
      <c r="G33" s="3">
        <v>1</v>
      </c>
      <c r="H33" s="3">
        <v>3.1</v>
      </c>
      <c r="I33" s="3">
        <v>658832.62</v>
      </c>
      <c r="J33">
        <v>0</v>
      </c>
      <c r="K33">
        <v>0</v>
      </c>
      <c r="L33">
        <v>0</v>
      </c>
      <c r="M33">
        <v>0</v>
      </c>
      <c r="N33">
        <f>80932.3403+(A33*1.00478527)+(B33*31.2531946)+(C33*-114994.58)+(D33*908.742526)+(E33*2836.50299)+(F33*-3518.8948)+(G33*22177.7478)+(H33*23748.7981)</f>
        <v>711698.13496360963</v>
      </c>
      <c r="O33">
        <f>I33-N33</f>
        <v>-52865.514963609632</v>
      </c>
      <c r="P33">
        <f>O33^2</f>
        <v>2794762672.3676338</v>
      </c>
    </row>
    <row r="34" spans="1:16">
      <c r="A34" s="3">
        <v>46495.4</v>
      </c>
      <c r="B34" s="3">
        <v>9908</v>
      </c>
      <c r="C34" s="3">
        <v>0.121</v>
      </c>
      <c r="D34" s="3">
        <v>22</v>
      </c>
      <c r="E34" s="3">
        <v>89.4</v>
      </c>
      <c r="F34" s="3">
        <v>3.22</v>
      </c>
      <c r="G34" s="3">
        <v>0</v>
      </c>
      <c r="H34" s="3">
        <v>3.7</v>
      </c>
      <c r="I34" s="3">
        <v>721079.35</v>
      </c>
      <c r="J34">
        <v>0</v>
      </c>
      <c r="K34">
        <v>0</v>
      </c>
      <c r="L34">
        <v>1</v>
      </c>
      <c r="M34">
        <v>0</v>
      </c>
      <c r="N34">
        <f>80932.3403+(A34*1.00478527)+(B34*31.2531946)+(C34*-114994.58)+(D34*908.742526)+(E34*2836.50299)+(F34*-3518.8948)+(G34*22177.7478)+(H34*23748.7981)</f>
        <v>773507.9558515579</v>
      </c>
      <c r="O34">
        <f>I34-N34</f>
        <v>-52428.605851557921</v>
      </c>
      <c r="P34">
        <f>O34^2</f>
        <v>2748758711.5380135</v>
      </c>
    </row>
    <row r="35" spans="1:16">
      <c r="A35" s="3">
        <v>23702.38</v>
      </c>
      <c r="B35" s="3">
        <v>5285</v>
      </c>
      <c r="C35" s="3">
        <v>0.16700000000000001</v>
      </c>
      <c r="D35" s="3">
        <v>14</v>
      </c>
      <c r="E35" s="3">
        <v>79.7</v>
      </c>
      <c r="F35" s="3">
        <v>1.1000000000000001</v>
      </c>
      <c r="G35" s="3">
        <v>0</v>
      </c>
      <c r="H35" s="3">
        <v>4.3</v>
      </c>
      <c r="I35" s="3">
        <v>536524.84</v>
      </c>
      <c r="J35">
        <v>0</v>
      </c>
      <c r="K35">
        <v>1</v>
      </c>
      <c r="L35">
        <v>0</v>
      </c>
      <c r="M35">
        <v>0</v>
      </c>
      <c r="N35">
        <f>80932.3403+(A35*1.00478527)+(B35*31.2531946)+(C35*-114994.58)+(D35*908.742526)+(E35*2836.50299)+(F35*-3518.8948)+(G35*22177.7478)+(H35*23748.7981)</f>
        <v>587757.91240594257</v>
      </c>
      <c r="O35">
        <f>I35-N35</f>
        <v>-51233.072405942599</v>
      </c>
      <c r="P35">
        <f>O35^2</f>
        <v>2624827708.1525569</v>
      </c>
    </row>
    <row r="36" spans="1:16">
      <c r="A36" s="3">
        <v>172415.52</v>
      </c>
      <c r="B36" s="3">
        <v>8927</v>
      </c>
      <c r="C36" s="3">
        <v>0.14000000000000001</v>
      </c>
      <c r="D36" s="3">
        <v>22</v>
      </c>
      <c r="E36" s="3">
        <v>86.2</v>
      </c>
      <c r="F36" s="3">
        <v>7.04</v>
      </c>
      <c r="G36" s="3">
        <v>0</v>
      </c>
      <c r="H36" s="3">
        <v>3.9</v>
      </c>
      <c r="I36" s="3">
        <v>800451.94</v>
      </c>
      <c r="J36">
        <v>0</v>
      </c>
      <c r="K36">
        <v>0</v>
      </c>
      <c r="L36">
        <v>1</v>
      </c>
      <c r="M36">
        <v>0</v>
      </c>
      <c r="N36">
        <f>80932.3403+(A36*1.00478527)+(B36*31.2531946)+(C36*-114994.58)+(D36*908.742526)+(E36*2836.50299)+(F36*-3518.8948)+(G36*22177.7478)+(H36*23748.7981)</f>
        <v>849417.12861759029</v>
      </c>
      <c r="O36">
        <f>I36-N36</f>
        <v>-48965.188617590349</v>
      </c>
      <c r="P36">
        <f>O36^2</f>
        <v>2397589696.3561993</v>
      </c>
    </row>
    <row r="37" spans="1:16">
      <c r="A37" s="3">
        <v>43827.89</v>
      </c>
      <c r="B37" s="3">
        <v>8487</v>
      </c>
      <c r="C37" s="3">
        <v>0.16800000000000001</v>
      </c>
      <c r="D37" s="3">
        <v>23</v>
      </c>
      <c r="E37" s="3">
        <v>84.4</v>
      </c>
      <c r="F37" s="3">
        <v>4.3099999999999996</v>
      </c>
      <c r="G37" s="3">
        <v>0</v>
      </c>
      <c r="H37" s="3">
        <v>2.8</v>
      </c>
      <c r="I37" s="3">
        <v>634436</v>
      </c>
      <c r="J37">
        <v>0</v>
      </c>
      <c r="K37">
        <v>0</v>
      </c>
      <c r="L37">
        <v>0</v>
      </c>
      <c r="M37">
        <v>0</v>
      </c>
      <c r="N37">
        <f>80932.3403+(A37*1.00478527)+(B37*31.2531946)+(C37*-114994.58)+(D37*908.742526)+(E37*2836.50299)+(F37*-3518.8948)+(G37*22177.7478)+(H37*23748.7981)</f>
        <v>682528.86026338022</v>
      </c>
      <c r="O37">
        <f>I37-N37</f>
        <v>-48092.860263380222</v>
      </c>
      <c r="P37">
        <f>O37^2</f>
        <v>2312923208.3130164</v>
      </c>
    </row>
    <row r="38" spans="1:16">
      <c r="A38" s="3">
        <v>37983.35</v>
      </c>
      <c r="B38" s="3">
        <v>9283</v>
      </c>
      <c r="C38" s="3">
        <v>0.14899999999999999</v>
      </c>
      <c r="D38" s="3">
        <v>19</v>
      </c>
      <c r="E38" s="3">
        <v>83.2</v>
      </c>
      <c r="F38" s="3">
        <v>3.82</v>
      </c>
      <c r="G38" s="3">
        <v>0</v>
      </c>
      <c r="H38" s="3">
        <v>3.7</v>
      </c>
      <c r="I38" s="3">
        <v>671868.59</v>
      </c>
      <c r="J38">
        <v>0</v>
      </c>
      <c r="K38">
        <v>0</v>
      </c>
      <c r="L38">
        <v>1</v>
      </c>
      <c r="M38">
        <v>0</v>
      </c>
      <c r="N38">
        <f>80932.3403+(A38*1.00478527)+(B38*31.2531946)+(C38*-114994.58)+(D38*908.742526)+(E38*2836.50299)+(F38*-3518.8948)+(G38*22177.7478)+(H38*23748.7981)</f>
        <v>719778.19553305453</v>
      </c>
      <c r="O38">
        <f>I38-N38</f>
        <v>-47909.605533054564</v>
      </c>
      <c r="P38">
        <f>O38^2</f>
        <v>2295330302.3328924</v>
      </c>
    </row>
    <row r="39" spans="1:16">
      <c r="A39" s="3">
        <v>58749.63</v>
      </c>
      <c r="B39" s="3">
        <v>8252</v>
      </c>
      <c r="C39" s="3">
        <v>0.20300000000000001</v>
      </c>
      <c r="D39" s="3">
        <v>20</v>
      </c>
      <c r="E39" s="3">
        <v>85.2</v>
      </c>
      <c r="F39" s="3">
        <v>3.61</v>
      </c>
      <c r="G39" s="3">
        <v>0</v>
      </c>
      <c r="H39" s="3">
        <v>4.5</v>
      </c>
      <c r="I39" s="3">
        <v>680840.36</v>
      </c>
      <c r="J39">
        <v>0</v>
      </c>
      <c r="K39">
        <v>0</v>
      </c>
      <c r="L39">
        <v>0</v>
      </c>
      <c r="M39">
        <v>0</v>
      </c>
      <c r="N39">
        <f>80932.3403+(A39*1.00478527)+(B39*31.2531946)+(C39*-114994.58)+(D39*908.742526)+(E39*2836.50299)+(F39*-3518.8948)+(G39*22177.7478)+(H39*23748.7981)</f>
        <v>728531.85173115018</v>
      </c>
      <c r="O39">
        <f>I39-N39</f>
        <v>-47691.491731150192</v>
      </c>
      <c r="P39">
        <f>O39^2</f>
        <v>2274478383.542367</v>
      </c>
    </row>
    <row r="40" spans="1:16">
      <c r="A40" s="3">
        <v>62949.7</v>
      </c>
      <c r="B40" s="3">
        <v>9458</v>
      </c>
      <c r="C40" s="3">
        <v>0.17100000000000001</v>
      </c>
      <c r="D40" s="3">
        <v>19</v>
      </c>
      <c r="E40" s="3">
        <v>84.9</v>
      </c>
      <c r="F40" s="3">
        <v>5.09</v>
      </c>
      <c r="G40" s="3">
        <v>0</v>
      </c>
      <c r="H40" s="3">
        <v>3.3</v>
      </c>
      <c r="I40" s="3">
        <v>691288.19</v>
      </c>
      <c r="J40">
        <v>0</v>
      </c>
      <c r="K40">
        <v>0</v>
      </c>
      <c r="L40">
        <v>0</v>
      </c>
      <c r="M40">
        <v>0</v>
      </c>
      <c r="N40">
        <f>80932.3403+(A40*1.00478527)+(B40*31.2531946)+(C40*-114994.58)+(D40*908.742526)+(E40*2836.50299)+(F40*-3518.8948)+(G40*22177.7478)+(H40*23748.7981)</f>
        <v>738656.98400071915</v>
      </c>
      <c r="O40">
        <f>I40-N40</f>
        <v>-47368.794000719208</v>
      </c>
      <c r="P40">
        <f>O40^2</f>
        <v>2243802645.082572</v>
      </c>
    </row>
    <row r="41" spans="1:16">
      <c r="A41" s="3">
        <v>60684.05</v>
      </c>
      <c r="B41" s="3">
        <v>6399</v>
      </c>
      <c r="C41" s="3">
        <v>7.4999999999999997E-2</v>
      </c>
      <c r="D41" s="3">
        <v>16</v>
      </c>
      <c r="E41" s="3">
        <v>99</v>
      </c>
      <c r="F41" s="3">
        <v>3.82</v>
      </c>
      <c r="G41" s="3">
        <v>0</v>
      </c>
      <c r="H41" s="3">
        <v>3.5</v>
      </c>
      <c r="I41" s="3">
        <v>651164.18000000005</v>
      </c>
      <c r="J41">
        <v>0</v>
      </c>
      <c r="K41">
        <v>1</v>
      </c>
      <c r="L41">
        <v>0</v>
      </c>
      <c r="M41">
        <v>0</v>
      </c>
      <c r="N41">
        <f>80932.3403+(A41*1.00478527)+(B41*31.2531946)+(C41*-114994.58)+(D41*908.742526)+(E41*2836.50299)+(F41*-3518.8948)+(G41*22177.7478)+(H41*23748.7981)</f>
        <v>698303.67024934338</v>
      </c>
      <c r="O41">
        <f>I41-N41</f>
        <v>-47139.490249343333</v>
      </c>
      <c r="P41">
        <f>O41^2</f>
        <v>2222131540.9679351</v>
      </c>
    </row>
    <row r="42" spans="1:16">
      <c r="A42" s="3">
        <v>44970.080000000002</v>
      </c>
      <c r="B42" s="3">
        <v>2471</v>
      </c>
      <c r="C42" s="3">
        <v>0.13600000000000001</v>
      </c>
      <c r="D42" s="3">
        <v>11</v>
      </c>
      <c r="E42" s="3">
        <v>87.6</v>
      </c>
      <c r="F42" s="3">
        <v>3.01</v>
      </c>
      <c r="G42" s="3">
        <v>1</v>
      </c>
      <c r="H42" s="3">
        <v>3.7</v>
      </c>
      <c r="I42" s="3">
        <v>500173.02</v>
      </c>
      <c r="J42">
        <v>0</v>
      </c>
      <c r="K42">
        <v>0</v>
      </c>
      <c r="L42">
        <v>0</v>
      </c>
      <c r="M42">
        <v>0</v>
      </c>
      <c r="N42">
        <f>80932.3403+(A42*1.00478527)+(B42*31.2531946)+(C42*-114994.58)+(D42*908.742526)+(E42*2836.50299)+(F42*-3518.8948)+(G42*22177.7478)+(H42*23748.7981)</f>
        <v>545635.25238332152</v>
      </c>
      <c r="O42">
        <f>I42-N42</f>
        <v>-45462.232383321505</v>
      </c>
      <c r="P42">
        <f>O42^2</f>
        <v>2066814573.2751265</v>
      </c>
    </row>
    <row r="43" spans="1:16">
      <c r="A43" s="3">
        <v>33518.879999999997</v>
      </c>
      <c r="B43" s="3">
        <v>2121</v>
      </c>
      <c r="C43" s="3">
        <v>0.17599999999999999</v>
      </c>
      <c r="D43" s="3">
        <v>8</v>
      </c>
      <c r="E43" s="3">
        <v>88.5</v>
      </c>
      <c r="F43" s="3">
        <v>0.2</v>
      </c>
      <c r="G43" s="3">
        <v>0</v>
      </c>
      <c r="H43" s="3">
        <v>5</v>
      </c>
      <c r="I43" s="3">
        <v>491905.13</v>
      </c>
      <c r="J43">
        <v>1</v>
      </c>
      <c r="K43">
        <v>0</v>
      </c>
      <c r="L43">
        <v>0</v>
      </c>
      <c r="M43">
        <v>0</v>
      </c>
      <c r="N43">
        <f>80932.3403+(A43*1.00478527)+(B43*31.2531946)+(C43*-114994.58)+(D43*908.742526)+(E43*2836.50299)+(F43*-3518.8948)+(G43*22177.7478)+(H43*23748.7981)</f>
        <v>537001.26322049752</v>
      </c>
      <c r="O43">
        <f>I43-N43</f>
        <v>-45096.133220497519</v>
      </c>
      <c r="P43">
        <f>O43^2</f>
        <v>2033661231.44086</v>
      </c>
    </row>
    <row r="44" spans="1:16">
      <c r="A44" s="3">
        <v>48396.13</v>
      </c>
      <c r="B44" s="3">
        <v>4423</v>
      </c>
      <c r="C44" s="3">
        <v>6.9000000000000006E-2</v>
      </c>
      <c r="D44" s="3">
        <v>15</v>
      </c>
      <c r="E44" s="3">
        <v>85.7</v>
      </c>
      <c r="F44" s="3">
        <v>1.88</v>
      </c>
      <c r="G44" s="3">
        <v>0</v>
      </c>
      <c r="H44" s="3">
        <v>3.9</v>
      </c>
      <c r="I44" s="3">
        <v>557487.26</v>
      </c>
      <c r="J44">
        <v>1</v>
      </c>
      <c r="K44">
        <v>0</v>
      </c>
      <c r="L44">
        <v>0</v>
      </c>
      <c r="M44">
        <v>0</v>
      </c>
      <c r="N44">
        <f>80932.3403+(A44*1.00478527)+(B44*31.2531946)+(C44*-114994.58)+(D44*908.742526)+(E44*2836.50299)+(F44*-3518.8948)+(G44*22177.7478)+(H44*23748.7981)</f>
        <v>602582.54704380513</v>
      </c>
      <c r="O44">
        <f>I44-N44</f>
        <v>-45095.287043805118</v>
      </c>
      <c r="P44">
        <f>O44^2</f>
        <v>2033584913.5631778</v>
      </c>
    </row>
    <row r="45" spans="1:16">
      <c r="A45" s="3">
        <v>61433.84</v>
      </c>
      <c r="B45" s="3">
        <v>7745</v>
      </c>
      <c r="C45" s="3">
        <v>0.18</v>
      </c>
      <c r="D45" s="3">
        <v>16</v>
      </c>
      <c r="E45" s="3">
        <v>90.5</v>
      </c>
      <c r="F45" s="3">
        <v>2.2599999999999998</v>
      </c>
      <c r="G45" s="3">
        <v>0</v>
      </c>
      <c r="H45" s="3">
        <v>4.2</v>
      </c>
      <c r="I45" s="3">
        <v>685830.24</v>
      </c>
      <c r="J45">
        <v>0</v>
      </c>
      <c r="K45">
        <v>0</v>
      </c>
      <c r="L45">
        <v>0</v>
      </c>
      <c r="M45">
        <v>0</v>
      </c>
      <c r="N45">
        <f>80932.3403+(A45*1.00478527)+(B45*31.2531946)+(C45*-114994.58)+(D45*908.742526)+(E45*2836.50299)+(F45*-3518.8948)+(G45*22177.7478)+(H45*23748.7981)</f>
        <v>727052.77637153689</v>
      </c>
      <c r="O45">
        <f>I45-N45</f>
        <v>-41222.536371536902</v>
      </c>
      <c r="P45">
        <f>O45^2</f>
        <v>1699297504.9026828</v>
      </c>
    </row>
    <row r="46" spans="1:16">
      <c r="A46" s="3">
        <v>33173.949999999997</v>
      </c>
      <c r="B46" s="3">
        <v>6545</v>
      </c>
      <c r="C46" s="3">
        <v>0.16900000000000001</v>
      </c>
      <c r="D46" s="3">
        <v>15</v>
      </c>
      <c r="E46" s="3">
        <v>84.4</v>
      </c>
      <c r="F46" s="3">
        <v>2.48</v>
      </c>
      <c r="G46" s="3">
        <v>0</v>
      </c>
      <c r="H46" s="3">
        <v>3.9</v>
      </c>
      <c r="I46" s="3">
        <v>596969.27</v>
      </c>
      <c r="J46">
        <v>0</v>
      </c>
      <c r="K46">
        <v>0</v>
      </c>
      <c r="L46">
        <v>0</v>
      </c>
      <c r="M46">
        <v>0</v>
      </c>
      <c r="N46">
        <f>80932.3403+(A46*1.00478527)+(B46*31.2531946)+(C46*-114994.58)+(D46*908.742526)+(E46*2836.50299)+(F46*-3518.8948)+(G46*22177.7478)+(H46*23748.7981)</f>
        <v>636308.55497671652</v>
      </c>
      <c r="O46">
        <f>I46-N46</f>
        <v>-39339.284976716503</v>
      </c>
      <c r="P46">
        <f>O46^2</f>
        <v>1547579342.4793127</v>
      </c>
    </row>
    <row r="47" spans="1:16">
      <c r="A47" s="3">
        <v>41657.64</v>
      </c>
      <c r="B47" s="3">
        <v>3135</v>
      </c>
      <c r="C47" s="3">
        <v>0.22900000000000001</v>
      </c>
      <c r="D47" s="3">
        <v>7</v>
      </c>
      <c r="E47" s="3">
        <v>85.4</v>
      </c>
      <c r="F47" s="3">
        <v>13.48</v>
      </c>
      <c r="G47" s="3">
        <v>0</v>
      </c>
      <c r="H47" s="3">
        <v>3.92</v>
      </c>
      <c r="I47" s="3">
        <v>449465.06</v>
      </c>
      <c r="J47">
        <v>0</v>
      </c>
      <c r="K47">
        <v>0</v>
      </c>
      <c r="L47">
        <v>0</v>
      </c>
      <c r="M47">
        <v>0</v>
      </c>
      <c r="N47">
        <f>80932.3403+(A47*1.00478527)+(B47*31.2531946)+(C47*-114994.58)+(D47*908.742526)+(E47*2836.50299)+(F47*-3518.8948)+(G47*22177.7478)+(H47*23748.7981)</f>
        <v>488693.46928196278</v>
      </c>
      <c r="O47">
        <f>I47-N47</f>
        <v>-39228.409281962784</v>
      </c>
      <c r="P47">
        <f>O47^2</f>
        <v>1538868094.7931838</v>
      </c>
    </row>
    <row r="48" spans="1:16">
      <c r="A48" s="3">
        <v>78831.12</v>
      </c>
      <c r="B48" s="3">
        <v>5538</v>
      </c>
      <c r="C48" s="3">
        <v>0</v>
      </c>
      <c r="D48" s="3">
        <v>15</v>
      </c>
      <c r="E48" s="3">
        <v>94.1</v>
      </c>
      <c r="F48" s="3">
        <v>0.2</v>
      </c>
      <c r="G48" s="3">
        <v>0</v>
      </c>
      <c r="H48" s="3">
        <v>3.9</v>
      </c>
      <c r="I48" s="3">
        <v>666573.19999999995</v>
      </c>
      <c r="J48">
        <v>0</v>
      </c>
      <c r="K48">
        <v>1</v>
      </c>
      <c r="L48">
        <v>0</v>
      </c>
      <c r="M48">
        <v>0</v>
      </c>
      <c r="N48">
        <f>80932.3403+(A48*1.00478527)+(B48*31.2531946)+(C48*-114994.58)+(D48*908.742526)+(E48*2836.50299)+(F48*-3518.8948)+(G48*22177.7478)+(H48*23748.7981)</f>
        <v>705683.48306740238</v>
      </c>
      <c r="O48">
        <f>I48-N48</f>
        <v>-39110.28306740243</v>
      </c>
      <c r="P48">
        <f>O48^2</f>
        <v>1529614241.6123452</v>
      </c>
    </row>
    <row r="49" spans="1:16">
      <c r="A49" s="3">
        <v>36606.51</v>
      </c>
      <c r="B49" s="3">
        <v>7671</v>
      </c>
      <c r="C49" s="3">
        <v>0.11799999999999999</v>
      </c>
      <c r="D49" s="3">
        <v>18</v>
      </c>
      <c r="E49" s="3">
        <v>89.8</v>
      </c>
      <c r="F49" s="3">
        <v>0.25</v>
      </c>
      <c r="G49" s="3">
        <v>0</v>
      </c>
      <c r="H49" s="3">
        <v>4.4000000000000004</v>
      </c>
      <c r="I49" s="3">
        <v>679731.57</v>
      </c>
      <c r="J49">
        <v>0</v>
      </c>
      <c r="K49">
        <v>0</v>
      </c>
      <c r="L49">
        <v>0</v>
      </c>
      <c r="M49">
        <v>0</v>
      </c>
      <c r="N49">
        <f>80932.3403+(A49*1.00478527)+(B49*31.2531946)+(C49*-114994.58)+(D49*908.742526)+(E49*2836.50299)+(F49*-3518.8948)+(G49*22177.7478)+(H49*23748.7981)</f>
        <v>718578.23958070774</v>
      </c>
      <c r="O49">
        <f>I49-N49</f>
        <v>-38846.669580707792</v>
      </c>
      <c r="P49">
        <f>O49^2</f>
        <v>1509063737.5126882</v>
      </c>
    </row>
    <row r="50" spans="1:16">
      <c r="A50" s="3">
        <v>34771.26</v>
      </c>
      <c r="B50" s="3">
        <v>4355</v>
      </c>
      <c r="C50" s="3">
        <v>5.0999999999999997E-2</v>
      </c>
      <c r="D50" s="3">
        <v>15</v>
      </c>
      <c r="E50" s="3">
        <v>87.9</v>
      </c>
      <c r="F50" s="3">
        <v>3.09</v>
      </c>
      <c r="G50" s="3">
        <v>0</v>
      </c>
      <c r="H50" s="3">
        <v>4</v>
      </c>
      <c r="I50" s="3">
        <v>555557.77</v>
      </c>
      <c r="J50">
        <v>0</v>
      </c>
      <c r="K50">
        <v>1</v>
      </c>
      <c r="L50">
        <v>0</v>
      </c>
      <c r="M50">
        <v>0</v>
      </c>
      <c r="N50">
        <f>80932.3403+(A50*1.00478527)+(B50*31.2531946)+(C50*-114994.58)+(D50*908.742526)+(E50*2836.50299)+(F50*-3518.8948)+(G50*22177.7478)+(H50*23748.7981)</f>
        <v>593194.48724934016</v>
      </c>
      <c r="O50">
        <f>I50-N50</f>
        <v>-37636.717249340145</v>
      </c>
      <c r="P50">
        <f>O50^2</f>
        <v>1416522485.306778</v>
      </c>
    </row>
    <row r="51" spans="1:16">
      <c r="A51" s="3">
        <v>42415.47</v>
      </c>
      <c r="B51" s="3">
        <v>8512</v>
      </c>
      <c r="C51" s="3">
        <v>0.13300000000000001</v>
      </c>
      <c r="D51" s="3">
        <v>18</v>
      </c>
      <c r="E51" s="3">
        <v>96.8</v>
      </c>
      <c r="F51" s="3">
        <v>14.95</v>
      </c>
      <c r="G51" s="3">
        <v>0</v>
      </c>
      <c r="H51" s="3">
        <v>4.5999999999999996</v>
      </c>
      <c r="I51" s="3">
        <v>684217.32</v>
      </c>
      <c r="J51">
        <v>0</v>
      </c>
      <c r="K51">
        <v>0</v>
      </c>
      <c r="L51">
        <v>0</v>
      </c>
      <c r="M51">
        <v>0</v>
      </c>
      <c r="N51">
        <f>80932.3403+(A51*1.00478527)+(B51*31.2531946)+(C51*-114994.58)+(D51*908.742526)+(E51*2836.50299)+(F51*-3518.8948)+(G51*22177.7478)+(H51*23748.7981)</f>
        <v>721851.54197132692</v>
      </c>
      <c r="O51">
        <f>I51-N51</f>
        <v>-37634.221971326973</v>
      </c>
      <c r="P51">
        <f>O51^2</f>
        <v>1416334663.38711</v>
      </c>
    </row>
    <row r="52" spans="1:16">
      <c r="A52" s="3">
        <v>35296.54</v>
      </c>
      <c r="B52" s="3">
        <v>9644</v>
      </c>
      <c r="C52" s="3">
        <v>0</v>
      </c>
      <c r="D52" s="3">
        <v>22</v>
      </c>
      <c r="E52" s="3">
        <v>88</v>
      </c>
      <c r="F52" s="3">
        <v>2.81</v>
      </c>
      <c r="G52" s="3">
        <v>0</v>
      </c>
      <c r="H52" s="3">
        <v>4.7</v>
      </c>
      <c r="I52" s="3">
        <v>752321.72</v>
      </c>
      <c r="J52">
        <v>0</v>
      </c>
      <c r="K52">
        <v>0</v>
      </c>
      <c r="L52">
        <v>0</v>
      </c>
      <c r="M52">
        <v>0</v>
      </c>
      <c r="N52">
        <f>80932.3403+(A52*1.00478527)+(B52*31.2531946)+(C52*-114994.58)+(D52*908.742526)+(E52*2836.50299)+(F52*-3518.8948)+(G52*22177.7478)+(H52*23748.7981)</f>
        <v>789139.44787036581</v>
      </c>
      <c r="O52">
        <f>I52-N52</f>
        <v>-36817.727870365838</v>
      </c>
      <c r="P52">
        <f>O52^2</f>
        <v>1355545085.5363133</v>
      </c>
    </row>
    <row r="53" spans="1:16">
      <c r="A53" s="3">
        <v>40928.69</v>
      </c>
      <c r="B53" s="3">
        <v>4094</v>
      </c>
      <c r="C53" s="3">
        <v>0.17399999999999999</v>
      </c>
      <c r="D53" s="3">
        <v>13</v>
      </c>
      <c r="E53" s="3">
        <v>82.4</v>
      </c>
      <c r="F53" s="3">
        <v>1.36</v>
      </c>
      <c r="G53" s="3">
        <v>0</v>
      </c>
      <c r="H53" s="3">
        <v>4.8</v>
      </c>
      <c r="I53" s="3">
        <v>548103.69999999995</v>
      </c>
      <c r="J53">
        <v>0</v>
      </c>
      <c r="K53">
        <v>0</v>
      </c>
      <c r="L53">
        <v>0</v>
      </c>
      <c r="M53">
        <v>0</v>
      </c>
      <c r="N53">
        <f>80932.3403+(A53*1.00478527)+(B53*31.2531946)+(C53*-114994.58)+(D53*908.742526)+(E53*2836.50299)+(F53*-3518.8948)+(G53*22177.7478)+(H53*23748.7981)</f>
        <v>584748.44007079629</v>
      </c>
      <c r="O53">
        <f>I53-N53</f>
        <v>-36644.740070796339</v>
      </c>
      <c r="P53">
        <f>O53^2</f>
        <v>1342836974.8562269</v>
      </c>
    </row>
    <row r="54" spans="1:16">
      <c r="A54" s="3">
        <v>69816.350000000006</v>
      </c>
      <c r="B54" s="3">
        <v>971</v>
      </c>
      <c r="C54" s="3">
        <v>0.16800000000000001</v>
      </c>
      <c r="D54" s="3">
        <v>5</v>
      </c>
      <c r="E54" s="3">
        <v>89.9</v>
      </c>
      <c r="F54" s="3">
        <v>12.15</v>
      </c>
      <c r="G54" s="3">
        <v>0</v>
      </c>
      <c r="H54" s="3">
        <v>3.6</v>
      </c>
      <c r="I54" s="3">
        <v>427917.38</v>
      </c>
      <c r="J54">
        <v>0</v>
      </c>
      <c r="K54">
        <v>0</v>
      </c>
      <c r="L54">
        <v>0</v>
      </c>
      <c r="M54">
        <v>0</v>
      </c>
      <c r="N54">
        <f>80932.3403+(A54*1.00478527)+(B54*31.2531946)+(C54*-114994.58)+(D54*908.742526)+(E54*2836.50299)+(F54*-3518.8948)+(G54*22177.7478)+(H54*23748.7981)</f>
        <v>464396.97567276447</v>
      </c>
      <c r="O54">
        <f>I54-N54</f>
        <v>-36479.595672764466</v>
      </c>
      <c r="P54">
        <f>O54^2</f>
        <v>1330760900.4483759</v>
      </c>
    </row>
    <row r="55" spans="1:16">
      <c r="A55" s="3">
        <v>41443.410000000003</v>
      </c>
      <c r="B55" s="3">
        <v>7455</v>
      </c>
      <c r="C55" s="3">
        <v>0.17499999999999999</v>
      </c>
      <c r="D55" s="3">
        <v>16</v>
      </c>
      <c r="E55" s="3">
        <v>90.1</v>
      </c>
      <c r="F55" s="3">
        <v>4.05</v>
      </c>
      <c r="G55" s="3">
        <v>0</v>
      </c>
      <c r="H55" s="3">
        <v>4</v>
      </c>
      <c r="I55" s="3">
        <v>650480.06000000006</v>
      </c>
      <c r="J55">
        <v>0</v>
      </c>
      <c r="K55">
        <v>1</v>
      </c>
      <c r="L55">
        <v>0</v>
      </c>
      <c r="M55">
        <v>0</v>
      </c>
      <c r="N55">
        <f>80932.3403+(A55*1.00478527)+(B55*31.2531946)+(C55*-114994.58)+(D55*908.742526)+(E55*2836.50299)+(F55*-3518.8948)+(G55*22177.7478)+(H55*23748.7981)</f>
        <v>686295.05072457064</v>
      </c>
      <c r="O55">
        <f>I55-N55</f>
        <v>-35814.990724570584</v>
      </c>
      <c r="P55">
        <f>O55^2</f>
        <v>1282713560.6010768</v>
      </c>
    </row>
    <row r="56" spans="1:16">
      <c r="A56" s="3">
        <v>51996.32</v>
      </c>
      <c r="B56" s="3">
        <v>3834</v>
      </c>
      <c r="C56" s="3">
        <v>9.6000000000000002E-2</v>
      </c>
      <c r="D56" s="3">
        <v>8</v>
      </c>
      <c r="E56" s="3">
        <v>86.7</v>
      </c>
      <c r="F56" s="3">
        <v>6.04</v>
      </c>
      <c r="G56" s="3">
        <v>0</v>
      </c>
      <c r="H56" s="3">
        <v>4.5</v>
      </c>
      <c r="I56" s="3">
        <v>546223.69999999995</v>
      </c>
      <c r="J56">
        <v>0</v>
      </c>
      <c r="K56">
        <v>0</v>
      </c>
      <c r="L56">
        <v>0</v>
      </c>
      <c r="M56">
        <v>0</v>
      </c>
      <c r="N56">
        <f>80932.3403+(A56*1.00478527)+(B56*31.2531946)+(C56*-114994.58)+(D56*908.742526)+(E56*2836.50299)+(F56*-3518.8948)+(G56*22177.7478)+(H56*23748.7981)</f>
        <v>580772.96144560643</v>
      </c>
      <c r="O56">
        <f>I56-N56</f>
        <v>-34549.261445606477</v>
      </c>
      <c r="P56">
        <f>O56^2</f>
        <v>1193651466.4368701</v>
      </c>
    </row>
    <row r="57" spans="1:16">
      <c r="A57" s="3">
        <v>36290.080000000002</v>
      </c>
      <c r="B57" s="3">
        <v>5787</v>
      </c>
      <c r="C57" s="3">
        <v>0</v>
      </c>
      <c r="D57" s="3">
        <v>17</v>
      </c>
      <c r="E57" s="3">
        <v>88.3</v>
      </c>
      <c r="F57" s="3">
        <v>4.1900000000000004</v>
      </c>
      <c r="G57" s="3">
        <v>0</v>
      </c>
      <c r="H57" s="3">
        <v>4.0999999999999996</v>
      </c>
      <c r="I57" s="3">
        <v>612390.14</v>
      </c>
      <c r="J57">
        <v>0</v>
      </c>
      <c r="K57">
        <v>1</v>
      </c>
      <c r="L57">
        <v>0</v>
      </c>
      <c r="M57">
        <v>0</v>
      </c>
      <c r="N57">
        <f>80932.3403+(A57*1.00478527)+(B57*31.2531946)+(C57*-114994.58)+(D57*908.742526)+(E57*2836.50299)+(F57*-3518.8948)+(G57*22177.7478)+(H57*23748.7981)</f>
        <v>646796.05523832154</v>
      </c>
      <c r="O57">
        <f>I57-N57</f>
        <v>-34405.915238321526</v>
      </c>
      <c r="P57">
        <f>O57^2</f>
        <v>1183767003.3865654</v>
      </c>
    </row>
    <row r="58" spans="1:16">
      <c r="A58" s="3">
        <v>59921.75</v>
      </c>
      <c r="B58" s="3">
        <v>9113</v>
      </c>
      <c r="C58" s="3">
        <v>0.13300000000000001</v>
      </c>
      <c r="D58" s="3">
        <v>20</v>
      </c>
      <c r="E58" s="3">
        <v>88</v>
      </c>
      <c r="F58" s="3">
        <v>12</v>
      </c>
      <c r="G58" s="3">
        <v>0</v>
      </c>
      <c r="H58" s="3">
        <v>3.2</v>
      </c>
      <c r="I58" s="3">
        <v>678722.06</v>
      </c>
      <c r="J58">
        <v>0</v>
      </c>
      <c r="K58">
        <v>0</v>
      </c>
      <c r="L58">
        <v>0</v>
      </c>
      <c r="M58">
        <v>0</v>
      </c>
      <c r="N58">
        <f>80932.3403+(A58*1.00478527)+(B58*31.2531946)+(C58*-114994.58)+(D58*908.742526)+(E58*2836.50299)+(F58*-3518.8948)+(G58*22177.7478)+(H58*23748.7981)</f>
        <v>712213.44526242244</v>
      </c>
      <c r="O58">
        <f>I58-N58</f>
        <v>-33491.38526242238</v>
      </c>
      <c r="P58">
        <f>O58^2</f>
        <v>1121672886.7960031</v>
      </c>
    </row>
    <row r="59" spans="1:16">
      <c r="A59" s="3">
        <v>52285.45</v>
      </c>
      <c r="B59" s="3">
        <v>3618</v>
      </c>
      <c r="C59" s="3">
        <v>8.5999999999999993E-2</v>
      </c>
      <c r="D59" s="3">
        <v>11</v>
      </c>
      <c r="E59" s="3">
        <v>95.6</v>
      </c>
      <c r="F59" s="3">
        <v>5.17</v>
      </c>
      <c r="G59" s="3">
        <v>1</v>
      </c>
      <c r="H59" s="3">
        <v>4.4000000000000004</v>
      </c>
      <c r="I59" s="3">
        <v>593247.25</v>
      </c>
      <c r="J59">
        <v>1</v>
      </c>
      <c r="K59">
        <v>0</v>
      </c>
      <c r="L59">
        <v>0</v>
      </c>
      <c r="M59">
        <v>0</v>
      </c>
      <c r="N59">
        <f>80932.3403+(A59*1.00478527)+(B59*31.2531946)+(C59*-114994.58)+(D59*908.742526)+(E59*2836.50299)+(F59*-3518.8948)+(G59*22177.7478)+(H59*23748.7981)</f>
        <v>626298.14143212151</v>
      </c>
      <c r="O59">
        <f>I59-N59</f>
        <v>-33050.891432121512</v>
      </c>
      <c r="P59">
        <f>O59^2</f>
        <v>1092361424.4578831</v>
      </c>
    </row>
    <row r="60" spans="1:16">
      <c r="A60" s="3">
        <v>40647.67</v>
      </c>
      <c r="B60" s="3">
        <v>8252</v>
      </c>
      <c r="C60" s="3">
        <v>0.14099999999999999</v>
      </c>
      <c r="D60" s="3">
        <v>22</v>
      </c>
      <c r="E60" s="3">
        <v>88.2</v>
      </c>
      <c r="F60" s="3">
        <v>5.07</v>
      </c>
      <c r="G60" s="3">
        <v>1</v>
      </c>
      <c r="H60" s="3">
        <v>4.0999999999999996</v>
      </c>
      <c r="I60" s="3">
        <v>703812.99</v>
      </c>
      <c r="J60">
        <v>1</v>
      </c>
      <c r="K60">
        <v>0</v>
      </c>
      <c r="L60">
        <v>1</v>
      </c>
      <c r="M60">
        <v>0</v>
      </c>
      <c r="N60">
        <f>80932.3403+(A60*1.00478527)+(B60*31.2531946)+(C60*-114994.58)+(D60*908.742526)+(E60*2836.50299)+(F60*-3518.8948)+(G60*22177.7478)+(H60*23748.7981)</f>
        <v>735340.56909902091</v>
      </c>
      <c r="O60">
        <f>I60-N60</f>
        <v>-31527.579099020921</v>
      </c>
      <c r="P60">
        <f>O60^2</f>
        <v>993988243.84502077</v>
      </c>
    </row>
    <row r="61" spans="1:16">
      <c r="A61" s="3">
        <v>68909.259999999995</v>
      </c>
      <c r="B61" s="3">
        <v>7794</v>
      </c>
      <c r="C61" s="3">
        <v>0.28399999999999997</v>
      </c>
      <c r="D61" s="3">
        <v>22</v>
      </c>
      <c r="E61" s="3">
        <v>89</v>
      </c>
      <c r="F61" s="3">
        <v>0.33</v>
      </c>
      <c r="G61" s="3">
        <v>0</v>
      </c>
      <c r="H61" s="3">
        <v>4</v>
      </c>
      <c r="I61" s="3">
        <v>696261.49</v>
      </c>
      <c r="J61">
        <v>0</v>
      </c>
      <c r="K61">
        <v>0</v>
      </c>
      <c r="L61">
        <v>0</v>
      </c>
      <c r="M61">
        <v>0</v>
      </c>
      <c r="N61">
        <f>80932.3403+(A61*1.00478527)+(B61*31.2531946)+(C61*-114994.58)+(D61*908.742526)+(E61*2836.50299)+(F61*-3518.8948)+(G61*22177.7478)+(H61*23748.7981)</f>
        <v>727375.34650500026</v>
      </c>
      <c r="O61">
        <f>I61-N61</f>
        <v>-31113.856505000265</v>
      </c>
      <c r="P61">
        <f>O61^2</f>
        <v>968072066.61374736</v>
      </c>
    </row>
    <row r="62" spans="1:16">
      <c r="A62" s="3">
        <v>43685.14</v>
      </c>
      <c r="B62" s="3">
        <v>7821</v>
      </c>
      <c r="C62" s="3">
        <v>0.19</v>
      </c>
      <c r="D62" s="3">
        <v>17</v>
      </c>
      <c r="E62" s="3">
        <v>91</v>
      </c>
      <c r="F62" s="3">
        <v>2.4900000000000002</v>
      </c>
      <c r="G62" s="3">
        <v>1</v>
      </c>
      <c r="H62" s="3">
        <v>4.7</v>
      </c>
      <c r="I62" s="3">
        <v>714942.43</v>
      </c>
      <c r="J62">
        <v>0</v>
      </c>
      <c r="K62">
        <v>0</v>
      </c>
      <c r="L62">
        <v>0</v>
      </c>
      <c r="M62">
        <v>0</v>
      </c>
      <c r="N62">
        <f>80932.3403+(A62*1.00478527)+(B62*31.2531946)+(C62*-114994.58)+(D62*908.742526)+(E62*2836.50299)+(F62*-3518.8948)+(G62*22177.7478)+(H62*23748.7981)</f>
        <v>746014.23610648769</v>
      </c>
      <c r="O62">
        <f>I62-N62</f>
        <v>-31071.806106487638</v>
      </c>
      <c r="P62">
        <f>O62^2</f>
        <v>965457134.71916246</v>
      </c>
    </row>
    <row r="63" spans="1:16">
      <c r="A63" s="3">
        <v>9534.65</v>
      </c>
      <c r="B63" s="3">
        <v>6057</v>
      </c>
      <c r="C63" s="3">
        <v>7.3999999999999996E-2</v>
      </c>
      <c r="D63" s="3">
        <v>15</v>
      </c>
      <c r="E63" s="3">
        <v>94.1</v>
      </c>
      <c r="F63" s="3">
        <v>5.79</v>
      </c>
      <c r="G63" s="3">
        <v>0</v>
      </c>
      <c r="H63" s="3">
        <v>4.5</v>
      </c>
      <c r="I63" s="3">
        <v>607898.12</v>
      </c>
      <c r="J63">
        <v>0</v>
      </c>
      <c r="K63">
        <v>0</v>
      </c>
      <c r="L63">
        <v>0</v>
      </c>
      <c r="M63">
        <v>0</v>
      </c>
      <c r="N63">
        <f>80932.3403+(A63*1.00478527)+(B63*31.2531946)+(C63*-114994.58)+(D63*908.742526)+(E63*2836.50299)+(F63*-3518.8948)+(G63*22177.7478)+(H63*23748.7981)</f>
        <v>638344.87675380544</v>
      </c>
      <c r="O63">
        <f>I63-N63</f>
        <v>-30446.756753805443</v>
      </c>
      <c r="P63">
        <f>O63^2</f>
        <v>927004996.82539737</v>
      </c>
    </row>
    <row r="64" spans="1:16">
      <c r="A64" s="3">
        <v>81796.740000000005</v>
      </c>
      <c r="B64" s="3">
        <v>6177</v>
      </c>
      <c r="C64" s="3">
        <v>0.16400000000000001</v>
      </c>
      <c r="D64" s="3">
        <v>14</v>
      </c>
      <c r="E64" s="3">
        <v>87.9</v>
      </c>
      <c r="F64" s="3">
        <v>0.53</v>
      </c>
      <c r="G64" s="3">
        <v>0</v>
      </c>
      <c r="H64" s="3">
        <v>3.2</v>
      </c>
      <c r="I64" s="3">
        <v>643428.85</v>
      </c>
      <c r="J64">
        <v>0</v>
      </c>
      <c r="K64">
        <v>0</v>
      </c>
      <c r="L64">
        <v>0</v>
      </c>
      <c r="M64">
        <v>0</v>
      </c>
      <c r="N64">
        <f>80932.3403+(A64*1.00478527)+(B64*31.2531946)+(C64*-114994.58)+(D64*908.742526)+(E64*2836.50299)+(F64*-3518.8948)+(G64*22177.7478)+(H64*23748.7981)</f>
        <v>673494.5195712198</v>
      </c>
      <c r="O64">
        <f>I64-N64</f>
        <v>-30065.669571219827</v>
      </c>
      <c r="P64">
        <f>O64^2</f>
        <v>903944486.76577377</v>
      </c>
    </row>
    <row r="65" spans="1:16">
      <c r="A65" s="3">
        <v>48804.22</v>
      </c>
      <c r="B65" s="3">
        <v>7057</v>
      </c>
      <c r="C65" s="3">
        <v>5.0000000000000001E-3</v>
      </c>
      <c r="D65" s="3">
        <v>15</v>
      </c>
      <c r="E65" s="3">
        <v>87.7</v>
      </c>
      <c r="F65" s="3">
        <v>1.22</v>
      </c>
      <c r="G65" s="3">
        <v>0</v>
      </c>
      <c r="H65" s="3">
        <v>3.7</v>
      </c>
      <c r="I65" s="3">
        <v>666152.52</v>
      </c>
      <c r="J65">
        <v>0</v>
      </c>
      <c r="K65">
        <v>1</v>
      </c>
      <c r="L65">
        <v>0</v>
      </c>
      <c r="M65">
        <v>0</v>
      </c>
      <c r="N65">
        <f>80932.3403+(A65*1.00478527)+(B65*31.2531946)+(C65*-114994.58)+(D65*908.742526)+(E65*2836.50299)+(F65*-3518.8948)+(G65*22177.7478)+(H65*23748.7981)</f>
        <v>695918.87448903942</v>
      </c>
      <c r="O65">
        <f>I65-N65</f>
        <v>-29766.354489039397</v>
      </c>
      <c r="P65">
        <f>O65^2</f>
        <v>886035859.56715584</v>
      </c>
    </row>
    <row r="66" spans="1:16">
      <c r="A66" s="3">
        <v>46767.99</v>
      </c>
      <c r="B66" s="3">
        <v>7973</v>
      </c>
      <c r="C66" s="3">
        <v>0.183</v>
      </c>
      <c r="D66" s="3">
        <v>18</v>
      </c>
      <c r="E66" s="3">
        <v>94.8</v>
      </c>
      <c r="F66" s="3">
        <v>4.67</v>
      </c>
      <c r="G66" s="3">
        <v>0</v>
      </c>
      <c r="H66" s="3">
        <v>3.92</v>
      </c>
      <c r="I66" s="3">
        <v>688368.46</v>
      </c>
      <c r="J66">
        <v>1</v>
      </c>
      <c r="K66">
        <v>0</v>
      </c>
      <c r="L66">
        <v>0</v>
      </c>
      <c r="M66">
        <v>0</v>
      </c>
      <c r="N66">
        <f>80932.3403+(A66*1.00478527)+(B66*31.2531946)+(C66*-114994.58)+(D66*908.742526)+(E66*2836.50299)+(F66*-3518.8948)+(G66*22177.7478)+(H66*23748.7981)</f>
        <v>717981.73892130726</v>
      </c>
      <c r="O66">
        <f>I66-N66</f>
        <v>-29613.278921307297</v>
      </c>
      <c r="P66">
        <f>O66^2</f>
        <v>876946288.47114313</v>
      </c>
    </row>
    <row r="67" spans="1:16">
      <c r="A67" s="3">
        <v>54002.83</v>
      </c>
      <c r="B67" s="3">
        <v>4366</v>
      </c>
      <c r="C67" s="3">
        <v>2.7E-2</v>
      </c>
      <c r="D67" s="3">
        <v>15</v>
      </c>
      <c r="E67" s="3">
        <v>90.6</v>
      </c>
      <c r="F67" s="3">
        <v>12.82</v>
      </c>
      <c r="G67" s="3">
        <v>0</v>
      </c>
      <c r="H67" s="3">
        <v>4.5999999999999996</v>
      </c>
      <c r="I67" s="3">
        <v>574066.61</v>
      </c>
      <c r="J67">
        <v>1</v>
      </c>
      <c r="K67">
        <v>0</v>
      </c>
      <c r="L67">
        <v>0</v>
      </c>
      <c r="M67">
        <v>0</v>
      </c>
      <c r="N67">
        <f>80932.3403+(A67*1.00478527)+(B67*31.2531946)+(C67*-114994.58)+(D67*908.742526)+(E67*2836.50299)+(F67*-3518.8948)+(G67*22177.7478)+(H67*23748.7981)</f>
        <v>603290.73109391402</v>
      </c>
      <c r="O67">
        <f>I67-N67</f>
        <v>-29224.121093914029</v>
      </c>
      <c r="P67">
        <f>O67^2</f>
        <v>854049253.71175086</v>
      </c>
    </row>
    <row r="68" spans="1:16">
      <c r="A68" s="3">
        <v>19063.48</v>
      </c>
      <c r="B68" s="3">
        <v>1906</v>
      </c>
      <c r="C68" s="3">
        <v>0.216</v>
      </c>
      <c r="D68" s="3">
        <v>10</v>
      </c>
      <c r="E68" s="3">
        <v>97.8</v>
      </c>
      <c r="F68" s="3">
        <v>15.79</v>
      </c>
      <c r="G68" s="3">
        <v>0</v>
      </c>
      <c r="H68" s="3">
        <v>4.4000000000000004</v>
      </c>
      <c r="I68" s="3">
        <v>441275.42</v>
      </c>
      <c r="J68">
        <v>1</v>
      </c>
      <c r="K68">
        <v>0</v>
      </c>
      <c r="L68">
        <v>0</v>
      </c>
      <c r="M68">
        <v>0</v>
      </c>
      <c r="N68">
        <f>80932.3403+(A68*1.00478527)+(B68*31.2531946)+(C68*-114994.58)+(D68*908.742526)+(E68*2836.50299)+(F68*-3518.8948)+(G68*22177.7478)+(H68*23748.7981)</f>
        <v>470245.58425653959</v>
      </c>
      <c r="O68">
        <f>I68-N68</f>
        <v>-28970.164256539603</v>
      </c>
      <c r="P68">
        <f>O68^2</f>
        <v>839270417.05088484</v>
      </c>
    </row>
    <row r="69" spans="1:16">
      <c r="A69" s="3">
        <v>52843.75</v>
      </c>
      <c r="B69" s="3">
        <v>8268</v>
      </c>
      <c r="C69" s="3">
        <v>0.13800000000000001</v>
      </c>
      <c r="D69" s="3">
        <v>19</v>
      </c>
      <c r="E69" s="3">
        <v>87.3</v>
      </c>
      <c r="F69" s="3">
        <v>4.3899999999999997</v>
      </c>
      <c r="G69" s="3">
        <v>1</v>
      </c>
      <c r="H69" s="3">
        <v>4.7</v>
      </c>
      <c r="I69" s="3">
        <v>730890.01</v>
      </c>
      <c r="J69">
        <v>1</v>
      </c>
      <c r="K69">
        <v>0</v>
      </c>
      <c r="L69">
        <v>1</v>
      </c>
      <c r="M69">
        <v>0</v>
      </c>
      <c r="N69">
        <f>80932.3403+(A69*1.00478527)+(B69*31.2531946)+(C69*-114994.58)+(D69*908.742526)+(E69*2836.50299)+(F69*-3518.8948)+(G69*22177.7478)+(H69*23748.7981)</f>
        <v>759803.09254336252</v>
      </c>
      <c r="O69">
        <f>I69-N69</f>
        <v>-28913.082543362514</v>
      </c>
      <c r="P69">
        <f>O69^2</f>
        <v>835966342.15929413</v>
      </c>
    </row>
    <row r="70" spans="1:16">
      <c r="A70" s="3">
        <v>51056.15</v>
      </c>
      <c r="B70" s="3">
        <v>5686</v>
      </c>
      <c r="C70" s="3">
        <v>8.8999999999999996E-2</v>
      </c>
      <c r="D70" s="3">
        <v>13</v>
      </c>
      <c r="E70" s="3">
        <v>89.9</v>
      </c>
      <c r="F70" s="3">
        <v>1.28</v>
      </c>
      <c r="G70" s="3">
        <v>0</v>
      </c>
      <c r="H70" s="3">
        <v>4.2</v>
      </c>
      <c r="I70" s="3">
        <v>633494.21</v>
      </c>
      <c r="J70">
        <v>0</v>
      </c>
      <c r="K70">
        <v>0</v>
      </c>
      <c r="L70">
        <v>1</v>
      </c>
      <c r="M70">
        <v>0</v>
      </c>
      <c r="N70">
        <f>80932.3403+(A70*1.00478527)+(B70*31.2531946)+(C70*-114994.58)+(D70*908.742526)+(E70*2836.50299)+(F70*-3518.8948)+(G70*22177.7478)+(H70*23748.7981)</f>
        <v>661759.99295351049</v>
      </c>
      <c r="O70">
        <f>I70-N70</f>
        <v>-28265.782953510527</v>
      </c>
      <c r="P70">
        <f>O70^2</f>
        <v>798954485.97496629</v>
      </c>
    </row>
    <row r="71" spans="1:16">
      <c r="A71" s="3">
        <v>55371.97</v>
      </c>
      <c r="B71" s="3">
        <v>4162</v>
      </c>
      <c r="C71" s="3">
        <v>0.183</v>
      </c>
      <c r="D71" s="3">
        <v>11</v>
      </c>
      <c r="E71" s="3">
        <v>92</v>
      </c>
      <c r="F71" s="3">
        <v>0.2</v>
      </c>
      <c r="G71" s="3">
        <v>1</v>
      </c>
      <c r="H71" s="3">
        <v>4.2</v>
      </c>
      <c r="I71" s="3">
        <v>609949</v>
      </c>
      <c r="J71">
        <v>0</v>
      </c>
      <c r="K71">
        <v>0</v>
      </c>
      <c r="L71">
        <v>0</v>
      </c>
      <c r="M71">
        <v>0</v>
      </c>
      <c r="N71">
        <f>80932.3403+(A71*1.00478527)+(B71*31.2531946)+(C71*-114994.58)+(D71*908.742526)+(E71*2836.50299)+(F71*-3518.8948)+(G71*22177.7478)+(H71*23748.7981)</f>
        <v>637774.43163808179</v>
      </c>
      <c r="O71">
        <f>I71-N71</f>
        <v>-27825.431638081791</v>
      </c>
      <c r="P71">
        <f>O71^2</f>
        <v>774254645.84556305</v>
      </c>
    </row>
    <row r="72" spans="1:16">
      <c r="A72" s="3">
        <v>63101.59</v>
      </c>
      <c r="B72" s="3">
        <v>4373</v>
      </c>
      <c r="C72" s="3">
        <v>0.17299999999999999</v>
      </c>
      <c r="D72" s="3">
        <v>14</v>
      </c>
      <c r="E72" s="3">
        <v>90.4</v>
      </c>
      <c r="F72" s="3">
        <v>7.87</v>
      </c>
      <c r="G72" s="3">
        <v>0</v>
      </c>
      <c r="H72" s="3">
        <v>4.7</v>
      </c>
      <c r="I72" s="3">
        <v>586626.93999999994</v>
      </c>
      <c r="J72">
        <v>0</v>
      </c>
      <c r="K72">
        <v>0</v>
      </c>
      <c r="L72">
        <v>1</v>
      </c>
      <c r="M72">
        <v>0</v>
      </c>
      <c r="N72">
        <f>80932.3403+(A72*1.00478527)+(B72*31.2531946)+(C72*-114994.58)+(D72*908.742526)+(E72*2836.50299)+(F72*-3518.8948)+(G72*22177.7478)+(H72*23748.7981)</f>
        <v>614179.96074537933</v>
      </c>
      <c r="O72">
        <f>I72-N72</f>
        <v>-27553.020745379385</v>
      </c>
      <c r="P72">
        <f>O72^2</f>
        <v>759168952.19530678</v>
      </c>
    </row>
    <row r="73" spans="1:16">
      <c r="A73" s="3">
        <v>71941.62</v>
      </c>
      <c r="B73" s="3">
        <v>6084</v>
      </c>
      <c r="C73" s="3">
        <v>7.1999999999999995E-2</v>
      </c>
      <c r="D73" s="3">
        <v>13</v>
      </c>
      <c r="E73" s="3">
        <v>93.7</v>
      </c>
      <c r="F73" s="3">
        <v>2.34</v>
      </c>
      <c r="G73" s="3">
        <v>0</v>
      </c>
      <c r="H73" s="3">
        <v>4.4000000000000004</v>
      </c>
      <c r="I73" s="3">
        <v>681855.56</v>
      </c>
      <c r="J73">
        <v>1</v>
      </c>
      <c r="K73">
        <v>0</v>
      </c>
      <c r="L73">
        <v>0</v>
      </c>
      <c r="M73">
        <v>0</v>
      </c>
      <c r="N73">
        <f>80932.3403+(A73*1.00478527)+(B73*31.2531946)+(C73*-114994.58)+(D73*908.742526)+(E73*2836.50299)+(F73*-3518.8948)+(G73*22177.7478)+(H73*23748.7981)</f>
        <v>708937.52737133729</v>
      </c>
      <c r="O73">
        <f>I73-N73</f>
        <v>-27081.967371337232</v>
      </c>
      <c r="P73">
        <f>O73^2</f>
        <v>733432956.70217443</v>
      </c>
    </row>
    <row r="74" spans="1:16">
      <c r="A74" s="3">
        <v>107970.19</v>
      </c>
      <c r="B74" s="3">
        <v>12870</v>
      </c>
      <c r="C74" s="3">
        <v>2.9000000000000001E-2</v>
      </c>
      <c r="D74" s="3">
        <v>31</v>
      </c>
      <c r="E74" s="3">
        <v>91.7</v>
      </c>
      <c r="F74" s="3">
        <v>3.82</v>
      </c>
      <c r="G74" s="3">
        <v>1</v>
      </c>
      <c r="H74" s="3">
        <v>3.7</v>
      </c>
      <c r="I74" s="3">
        <v>946833.54</v>
      </c>
      <c r="J74">
        <v>0</v>
      </c>
      <c r="K74">
        <v>0</v>
      </c>
      <c r="L74">
        <v>0</v>
      </c>
      <c r="M74">
        <v>0</v>
      </c>
      <c r="N74">
        <f>80932.3403+(A74*1.00478527)+(B74*31.2531946)+(C74*-114994.58)+(D74*908.742526)+(E74*2836.50299)+(F74*-3518.8948)+(G74*22177.7478)+(H74*23748.7981)</f>
        <v>973197.43361610139</v>
      </c>
      <c r="O74">
        <f>I74-N74</f>
        <v>-26363.893616101355</v>
      </c>
      <c r="P74">
        <f>O74^2</f>
        <v>695054886.60110974</v>
      </c>
    </row>
    <row r="75" spans="1:16">
      <c r="A75" s="3">
        <v>43645.98</v>
      </c>
      <c r="B75" s="3">
        <v>9480</v>
      </c>
      <c r="C75" s="3">
        <v>0.109</v>
      </c>
      <c r="D75" s="3">
        <v>22</v>
      </c>
      <c r="E75" s="3">
        <v>89</v>
      </c>
      <c r="F75" s="3">
        <v>2.11</v>
      </c>
      <c r="G75" s="3">
        <v>0</v>
      </c>
      <c r="H75" s="3">
        <v>3.1</v>
      </c>
      <c r="I75" s="3">
        <v>721364.11</v>
      </c>
      <c r="J75">
        <v>0</v>
      </c>
      <c r="K75">
        <v>0</v>
      </c>
      <c r="L75">
        <v>0</v>
      </c>
      <c r="M75">
        <v>0</v>
      </c>
      <c r="N75">
        <f>80932.3403+(A75*1.00478527)+(B75*31.2531946)+(C75*-114994.58)+(D75*908.742526)+(E75*2836.50299)+(F75*-3518.8948)+(G75*22177.7478)+(H75*23748.7981)</f>
        <v>747170.56145071471</v>
      </c>
      <c r="O75">
        <f>I75-N75</f>
        <v>-25806.451450714725</v>
      </c>
      <c r="P75">
        <f>O75^2</f>
        <v>665972936.47809613</v>
      </c>
    </row>
    <row r="76" spans="1:16">
      <c r="A76" s="3">
        <v>24088.06</v>
      </c>
      <c r="B76" s="3">
        <v>3466</v>
      </c>
      <c r="C76" s="3">
        <v>0</v>
      </c>
      <c r="D76" s="3">
        <v>11</v>
      </c>
      <c r="E76" s="3">
        <v>88</v>
      </c>
      <c r="F76" s="3">
        <v>0.2</v>
      </c>
      <c r="G76" s="3">
        <v>0</v>
      </c>
      <c r="H76" s="3">
        <v>3.8</v>
      </c>
      <c r="I76" s="3">
        <v>536845.42000000004</v>
      </c>
      <c r="J76">
        <v>0</v>
      </c>
      <c r="K76">
        <v>0</v>
      </c>
      <c r="L76">
        <v>0</v>
      </c>
      <c r="M76">
        <v>0</v>
      </c>
      <c r="N76">
        <f>80932.3403+(A76*1.00478527)+(B76*31.2531946)+(C76*-114994.58)+(D76*908.742526)+(E76*2836.50299)+(F76*-3518.8948)+(G76*22177.7478)+(H76*23748.7981)</f>
        <v>562609.32538047619</v>
      </c>
      <c r="O76">
        <f>I76-N76</f>
        <v>-25763.90538047615</v>
      </c>
      <c r="P76">
        <f>O76^2</f>
        <v>663778820.45412791</v>
      </c>
    </row>
    <row r="77" spans="1:16">
      <c r="A77" s="3">
        <v>53015.46</v>
      </c>
      <c r="B77" s="3">
        <v>3279</v>
      </c>
      <c r="C77" s="3">
        <v>8.6999999999999994E-2</v>
      </c>
      <c r="D77" s="3">
        <v>9</v>
      </c>
      <c r="E77" s="3">
        <v>84.3</v>
      </c>
      <c r="F77" s="3">
        <v>22.02</v>
      </c>
      <c r="G77" s="3">
        <v>0</v>
      </c>
      <c r="H77" s="3">
        <v>3.9</v>
      </c>
      <c r="I77" s="3">
        <v>463534.25</v>
      </c>
      <c r="J77">
        <v>0</v>
      </c>
      <c r="K77">
        <v>0</v>
      </c>
      <c r="L77">
        <v>0</v>
      </c>
      <c r="M77">
        <v>0</v>
      </c>
      <c r="N77">
        <f>80932.3403+(A77*1.00478527)+(B77*31.2531946)+(C77*-114994.58)+(D77*908.742526)+(E77*2836.50299)+(F77*-3518.8948)+(G77*22177.7478)+(H77*23748.7981)</f>
        <v>489106.32410867413</v>
      </c>
      <c r="O77">
        <f>I77-N77</f>
        <v>-25572.074108674133</v>
      </c>
      <c r="P77">
        <f>O77^2</f>
        <v>653930974.219522</v>
      </c>
    </row>
    <row r="78" spans="1:16">
      <c r="A78" s="3">
        <v>64104.28</v>
      </c>
      <c r="B78" s="3">
        <v>6015</v>
      </c>
      <c r="C78" s="3">
        <v>0.127</v>
      </c>
      <c r="D78" s="3">
        <v>15</v>
      </c>
      <c r="E78" s="3">
        <v>88.7</v>
      </c>
      <c r="F78" s="3">
        <v>0.78</v>
      </c>
      <c r="G78" s="3">
        <v>0</v>
      </c>
      <c r="H78" s="3">
        <v>4</v>
      </c>
      <c r="I78" s="3">
        <v>650795.49</v>
      </c>
      <c r="J78">
        <v>0</v>
      </c>
      <c r="K78">
        <v>0</v>
      </c>
      <c r="L78">
        <v>0</v>
      </c>
      <c r="M78">
        <v>0</v>
      </c>
      <c r="N78">
        <f>80932.3403+(A78*1.00478527)+(B78*31.2531946)+(C78*-114994.58)+(D78*908.742526)+(E78*2836.50299)+(F78*-3518.8948)+(G78*22177.7478)+(H78*23748.7981)</f>
        <v>676206.43800595542</v>
      </c>
      <c r="O78">
        <f>I78-N78</f>
        <v>-25410.948005955433</v>
      </c>
      <c r="P78">
        <f>O78^2</f>
        <v>645716278.56137037</v>
      </c>
    </row>
    <row r="79" spans="1:16">
      <c r="A79" s="3">
        <v>63010.23</v>
      </c>
      <c r="B79" s="3">
        <v>9812</v>
      </c>
      <c r="C79" s="3">
        <v>0.113</v>
      </c>
      <c r="D79" s="3">
        <v>24</v>
      </c>
      <c r="E79" s="3">
        <v>76.8</v>
      </c>
      <c r="F79" s="3">
        <v>1.02</v>
      </c>
      <c r="G79" s="3">
        <v>1</v>
      </c>
      <c r="H79" s="3">
        <v>3.8</v>
      </c>
      <c r="I79" s="3">
        <v>761077.08</v>
      </c>
      <c r="J79">
        <v>0</v>
      </c>
      <c r="K79">
        <v>0</v>
      </c>
      <c r="L79">
        <v>0</v>
      </c>
      <c r="M79">
        <v>0</v>
      </c>
      <c r="N79">
        <f>80932.3403+(A79*1.00478527)+(B79*31.2531946)+(C79*-114994.58)+(D79*908.742526)+(E79*2836.50299)+(F79*-3518.8948)+(G79*22177.7478)+(H79*23748.7981)</f>
        <v>786393.20727851207</v>
      </c>
      <c r="O79">
        <f>I79-N79</f>
        <v>-25316.127278512111</v>
      </c>
      <c r="P79">
        <f>O79^2</f>
        <v>640906300.38182497</v>
      </c>
    </row>
    <row r="80" spans="1:16">
      <c r="A80" s="3">
        <v>61784.11</v>
      </c>
      <c r="B80" s="3">
        <v>8564</v>
      </c>
      <c r="C80" s="3">
        <v>0.13</v>
      </c>
      <c r="D80" s="3">
        <v>17</v>
      </c>
      <c r="E80" s="3">
        <v>87.4</v>
      </c>
      <c r="F80" s="3">
        <v>18.14</v>
      </c>
      <c r="G80" s="3">
        <v>1</v>
      </c>
      <c r="H80" s="3">
        <v>3.4</v>
      </c>
      <c r="I80" s="3">
        <v>673076.34</v>
      </c>
      <c r="J80">
        <v>0</v>
      </c>
      <c r="K80">
        <v>1</v>
      </c>
      <c r="L80">
        <v>0</v>
      </c>
      <c r="M80">
        <v>0</v>
      </c>
      <c r="N80">
        <f>80932.3403+(A80*1.00478527)+(B80*31.2531946)+(C80*-114994.58)+(D80*908.742526)+(E80*2836.50299)+(F80*-3518.8948)+(G80*22177.7478)+(H80*23748.7981)</f>
        <v>698165.06103845965</v>
      </c>
      <c r="O80">
        <f>I80-N80</f>
        <v>-25088.721038459684</v>
      </c>
      <c r="P80">
        <f>O80^2</f>
        <v>629443923.3456496</v>
      </c>
    </row>
    <row r="81" spans="1:16">
      <c r="A81" s="3">
        <v>42267.37</v>
      </c>
      <c r="B81" s="3">
        <v>3364</v>
      </c>
      <c r="C81" s="3">
        <v>0.16</v>
      </c>
      <c r="D81" s="3">
        <v>13</v>
      </c>
      <c r="E81" s="3">
        <v>82</v>
      </c>
      <c r="F81" s="3">
        <v>1.61</v>
      </c>
      <c r="G81" s="3">
        <v>1</v>
      </c>
      <c r="H81" s="3">
        <v>4.5999999999999996</v>
      </c>
      <c r="I81" s="3">
        <v>555929.4</v>
      </c>
      <c r="J81">
        <v>1</v>
      </c>
      <c r="K81">
        <v>0</v>
      </c>
      <c r="L81">
        <v>0</v>
      </c>
      <c r="M81">
        <v>0</v>
      </c>
      <c r="N81">
        <f>80932.3403+(A81*1.00478527)+(B81*31.2531946)+(C81*-114994.58)+(D81*908.742526)+(E81*2836.50299)+(F81*-3518.8948)+(G81*22177.7478)+(H81*23748.7981)</f>
        <v>580302.28136203985</v>
      </c>
      <c r="O81">
        <f>I81-N81</f>
        <v>-24372.881362039829</v>
      </c>
      <c r="P81">
        <f>O81^2</f>
        <v>594037345.88806844</v>
      </c>
    </row>
    <row r="82" spans="1:16">
      <c r="A82" s="3">
        <v>64811.21</v>
      </c>
      <c r="B82" s="3">
        <v>9792</v>
      </c>
      <c r="C82" s="3">
        <v>0.112</v>
      </c>
      <c r="D82" s="3">
        <v>20</v>
      </c>
      <c r="E82" s="3">
        <v>84.2</v>
      </c>
      <c r="F82" s="3">
        <v>2.88</v>
      </c>
      <c r="G82" s="3">
        <v>0</v>
      </c>
      <c r="H82" s="3">
        <v>4.2</v>
      </c>
      <c r="I82" s="3">
        <v>761835.34</v>
      </c>
      <c r="J82">
        <v>0</v>
      </c>
      <c r="K82">
        <v>0</v>
      </c>
      <c r="L82">
        <v>0</v>
      </c>
      <c r="M82">
        <v>0</v>
      </c>
      <c r="N82">
        <f>80932.3403+(A82*1.00478527)+(B82*31.2531946)+(C82*-114994.58)+(D82*908.742526)+(E82*2836.50299)+(F82*-3518.8948)+(G82*22177.7478)+(H82*23748.7981)</f>
        <v>785824.51527607662</v>
      </c>
      <c r="O82">
        <f>I82-N82</f>
        <v>-23989.175276076654</v>
      </c>
      <c r="P82">
        <f>O82^2</f>
        <v>575480530.42632735</v>
      </c>
    </row>
    <row r="83" spans="1:16">
      <c r="A83" s="3">
        <v>41441.93</v>
      </c>
      <c r="B83" s="3">
        <v>4865</v>
      </c>
      <c r="C83" s="3">
        <v>0.158</v>
      </c>
      <c r="D83" s="3">
        <v>16</v>
      </c>
      <c r="E83" s="3">
        <v>88.3</v>
      </c>
      <c r="F83" s="3">
        <v>0.5</v>
      </c>
      <c r="G83" s="3">
        <v>0</v>
      </c>
      <c r="H83" s="3">
        <v>4</v>
      </c>
      <c r="I83" s="3">
        <v>591619.94999999995</v>
      </c>
      <c r="J83">
        <v>0</v>
      </c>
      <c r="K83">
        <v>1</v>
      </c>
      <c r="L83">
        <v>0</v>
      </c>
      <c r="M83">
        <v>0</v>
      </c>
      <c r="N83">
        <f>80932.3403+(A83*1.00478527)+(B83*31.2531946)+(C83*-114994.58)+(D83*908.742526)+(E83*2836.50299)+(F83*-3518.8948)+(G83*22177.7478)+(H83*23748.7981)</f>
        <v>614689.06864637113</v>
      </c>
      <c r="O83">
        <f>I83-N83</f>
        <v>-23069.118646371178</v>
      </c>
      <c r="P83">
        <f>O83^2</f>
        <v>532184235.12035036</v>
      </c>
    </row>
    <row r="84" spans="1:16">
      <c r="A84" s="3">
        <v>118910.48</v>
      </c>
      <c r="B84" s="3">
        <v>4022</v>
      </c>
      <c r="C84" s="3">
        <v>0.13700000000000001</v>
      </c>
      <c r="D84" s="3">
        <v>11</v>
      </c>
      <c r="E84" s="3">
        <v>87.1</v>
      </c>
      <c r="F84" s="3">
        <v>0.2</v>
      </c>
      <c r="G84" s="3">
        <v>0</v>
      </c>
      <c r="H84" s="3">
        <v>3.1</v>
      </c>
      <c r="I84" s="3">
        <v>617291.15</v>
      </c>
      <c r="J84">
        <v>0</v>
      </c>
      <c r="K84">
        <v>0</v>
      </c>
      <c r="L84">
        <v>0</v>
      </c>
      <c r="M84">
        <v>0</v>
      </c>
      <c r="N84">
        <f>80932.3403+(A84*1.00478527)+(B84*31.2531946)+(C84*-114994.58)+(D84*908.742526)+(E84*2836.50299)+(F84*-3518.8948)+(G84*22177.7478)+(H84*23748.7981)</f>
        <v>640331.00363882957</v>
      </c>
      <c r="O84">
        <f>I84-N84</f>
        <v>-23039.853638829547</v>
      </c>
      <c r="P84">
        <f>O84^2</f>
        <v>530834855.69868714</v>
      </c>
    </row>
    <row r="85" spans="1:16">
      <c r="A85" s="3">
        <v>70366.759999999995</v>
      </c>
      <c r="B85" s="3">
        <v>1963</v>
      </c>
      <c r="C85" s="3">
        <v>0.182</v>
      </c>
      <c r="D85" s="3">
        <v>8</v>
      </c>
      <c r="E85" s="3">
        <v>89.8</v>
      </c>
      <c r="F85" s="3">
        <v>3.2</v>
      </c>
      <c r="G85" s="3">
        <v>0</v>
      </c>
      <c r="H85" s="3">
        <v>4.5999999999999996</v>
      </c>
      <c r="I85" s="3">
        <v>529075.94999999995</v>
      </c>
      <c r="J85">
        <v>1</v>
      </c>
      <c r="K85">
        <v>0</v>
      </c>
      <c r="L85">
        <v>0</v>
      </c>
      <c r="M85">
        <v>0</v>
      </c>
      <c r="N85">
        <f>80932.3403+(A85*1.00478527)+(B85*31.2531946)+(C85*-114994.58)+(D85*908.742526)+(E85*2836.50299)+(F85*-3518.8948)+(G85*22177.7478)+(H85*23748.7981)</f>
        <v>552028.7482954252</v>
      </c>
      <c r="O85">
        <f>I85-N85</f>
        <v>-22952.798295425251</v>
      </c>
      <c r="P85">
        <f>O85^2</f>
        <v>526830949.59047633</v>
      </c>
    </row>
    <row r="86" spans="1:16">
      <c r="A86" s="3">
        <v>38966.589999999997</v>
      </c>
      <c r="B86" s="3">
        <v>4509</v>
      </c>
      <c r="C86" s="3">
        <v>0.19400000000000001</v>
      </c>
      <c r="D86" s="3">
        <v>14</v>
      </c>
      <c r="E86" s="3">
        <v>91.1</v>
      </c>
      <c r="F86" s="3">
        <v>2.92</v>
      </c>
      <c r="G86" s="3">
        <v>0</v>
      </c>
      <c r="H86" s="3">
        <v>4.5999999999999996</v>
      </c>
      <c r="I86" s="3">
        <v>585937.48</v>
      </c>
      <c r="J86">
        <v>0</v>
      </c>
      <c r="K86">
        <v>0</v>
      </c>
      <c r="L86">
        <v>0</v>
      </c>
      <c r="M86">
        <v>0</v>
      </c>
      <c r="N86">
        <f>80932.3403+(A86*1.00478527)+(B86*31.2531946)+(C86*-114994.58)+(D86*908.742526)+(E86*2836.50299)+(F86*-3518.8948)+(G86*22177.7478)+(H86*23748.7981)</f>
        <v>608794.21808252926</v>
      </c>
      <c r="O86">
        <f>I86-N86</f>
        <v>-22856.738082529278</v>
      </c>
      <c r="P86">
        <f>O86^2</f>
        <v>522430475.77334422</v>
      </c>
    </row>
    <row r="87" spans="1:16">
      <c r="A87" s="3">
        <v>62059.18</v>
      </c>
      <c r="B87" s="3">
        <v>9374</v>
      </c>
      <c r="C87" s="3">
        <v>0.13600000000000001</v>
      </c>
      <c r="D87" s="3">
        <v>25</v>
      </c>
      <c r="E87" s="3">
        <v>87.1</v>
      </c>
      <c r="F87" s="3">
        <v>12.55</v>
      </c>
      <c r="G87" s="3">
        <v>0</v>
      </c>
      <c r="H87" s="3">
        <v>4.9000000000000004</v>
      </c>
      <c r="I87" s="3">
        <v>739831.73</v>
      </c>
      <c r="J87">
        <v>0</v>
      </c>
      <c r="K87">
        <v>0</v>
      </c>
      <c r="L87">
        <v>0</v>
      </c>
      <c r="M87">
        <v>0</v>
      </c>
      <c r="N87">
        <f>80932.3403+(A87*1.00478527)+(B87*31.2531946)+(C87*-114994.58)+(D87*908.742526)+(E87*2836.50299)+(F87*-3518.8948)+(G87*22177.7478)+(H87*23748.7981)</f>
        <v>762601.62806167861</v>
      </c>
      <c r="O87">
        <f>I87-N87</f>
        <v>-22769.898061678628</v>
      </c>
      <c r="P87">
        <f>O87^2</f>
        <v>518468257.73923618</v>
      </c>
    </row>
    <row r="88" spans="1:16">
      <c r="A88" s="3">
        <v>54080.91</v>
      </c>
      <c r="B88" s="3">
        <v>7083</v>
      </c>
      <c r="C88" s="3">
        <v>0</v>
      </c>
      <c r="D88" s="3">
        <v>15</v>
      </c>
      <c r="E88" s="3">
        <v>97</v>
      </c>
      <c r="F88" s="3">
        <v>5.33</v>
      </c>
      <c r="G88" s="3">
        <v>0</v>
      </c>
      <c r="H88" s="3">
        <v>4.0999999999999996</v>
      </c>
      <c r="I88" s="3">
        <v>702068.92</v>
      </c>
      <c r="J88">
        <v>0</v>
      </c>
      <c r="K88">
        <v>0</v>
      </c>
      <c r="L88">
        <v>0</v>
      </c>
      <c r="M88">
        <v>0</v>
      </c>
      <c r="N88">
        <f>80932.3403+(A88*1.00478527)+(B88*31.2531946)+(C88*-114994.58)+(D88*908.742526)+(E88*2836.50299)+(F88*-3518.8948)+(G88*22177.7478)+(H88*23748.7981)</f>
        <v>724024.71025399573</v>
      </c>
      <c r="O88">
        <f>I88-N88</f>
        <v>-21955.790253995685</v>
      </c>
      <c r="P88">
        <f>O88^2</f>
        <v>482056725.67745191</v>
      </c>
    </row>
    <row r="89" spans="1:16">
      <c r="A89" s="3">
        <v>73540.990000000005</v>
      </c>
      <c r="B89" s="3">
        <v>8773</v>
      </c>
      <c r="C89" s="3">
        <v>3.5000000000000003E-2</v>
      </c>
      <c r="D89" s="3">
        <v>21</v>
      </c>
      <c r="E89" s="3">
        <v>84.4</v>
      </c>
      <c r="F89" s="3">
        <v>6.68</v>
      </c>
      <c r="G89" s="3">
        <v>0</v>
      </c>
      <c r="H89" s="3">
        <v>3.6</v>
      </c>
      <c r="I89" s="3">
        <v>723531.4</v>
      </c>
      <c r="J89">
        <v>0</v>
      </c>
      <c r="K89">
        <v>0</v>
      </c>
      <c r="L89">
        <v>0</v>
      </c>
      <c r="M89">
        <v>0</v>
      </c>
      <c r="N89">
        <f>80932.3403+(A89*1.00478527)+(B89*31.2531946)+(C89*-114994.58)+(D89*908.742526)+(E89*2836.50299)+(F89*-3518.8948)+(G89*22177.7478)+(H89*23748.7981)</f>
        <v>745458.61101701728</v>
      </c>
      <c r="O89">
        <f>I89-N89</f>
        <v>-21927.211017017253</v>
      </c>
      <c r="P89">
        <f>O89^2</f>
        <v>480802582.98480278</v>
      </c>
    </row>
    <row r="90" spans="1:16">
      <c r="A90" s="3">
        <v>75645.23</v>
      </c>
      <c r="B90" s="3">
        <v>9674</v>
      </c>
      <c r="C90" s="3">
        <v>0.23400000000000001</v>
      </c>
      <c r="D90" s="3">
        <v>21</v>
      </c>
      <c r="E90" s="3">
        <v>87.4</v>
      </c>
      <c r="F90" s="3">
        <v>0.2</v>
      </c>
      <c r="G90" s="3">
        <v>0</v>
      </c>
      <c r="H90" s="3">
        <v>4.5</v>
      </c>
      <c r="I90" s="3">
        <v>785028.25</v>
      </c>
      <c r="J90">
        <v>0</v>
      </c>
      <c r="K90">
        <v>0</v>
      </c>
      <c r="L90">
        <v>0</v>
      </c>
      <c r="M90">
        <v>0</v>
      </c>
      <c r="N90">
        <f>80932.3403+(A90*1.00478527)+(B90*31.2531946)+(C90*-114994.58)+(D90*908.742526)+(E90*2836.50299)+(F90*-3518.8948)+(G90*22177.7478)+(H90*23748.7981)</f>
        <v>805533.9928521621</v>
      </c>
      <c r="O90">
        <f>I90-N90</f>
        <v>-20505.742852162104</v>
      </c>
      <c r="P90">
        <f>O90^2</f>
        <v>420485489.91899723</v>
      </c>
    </row>
    <row r="91" spans="1:16">
      <c r="A91" s="3">
        <v>59909.51</v>
      </c>
      <c r="B91" s="3">
        <v>8895</v>
      </c>
      <c r="C91" s="3">
        <v>0.22800000000000001</v>
      </c>
      <c r="D91" s="3">
        <v>23</v>
      </c>
      <c r="E91" s="3">
        <v>88.8</v>
      </c>
      <c r="F91" s="3">
        <v>0.27</v>
      </c>
      <c r="G91" s="3">
        <v>0</v>
      </c>
      <c r="H91" s="3">
        <v>4.3</v>
      </c>
      <c r="I91" s="3">
        <v>746501.09</v>
      </c>
      <c r="J91">
        <v>0</v>
      </c>
      <c r="K91">
        <v>0</v>
      </c>
      <c r="L91">
        <v>0</v>
      </c>
      <c r="M91">
        <v>0</v>
      </c>
      <c r="N91">
        <f>80932.3403+(A91*1.00478527)+(B91*31.2531946)+(C91*-114994.58)+(D91*908.742526)+(E91*2836.50299)+(F91*-3518.8948)+(G91*22177.7478)+(H91*23748.7981)</f>
        <v>766859.20905191777</v>
      </c>
      <c r="O91">
        <f>I91-N91</f>
        <v>-20358.119051917805</v>
      </c>
      <c r="P91">
        <f>O91^2</f>
        <v>414453011.33205873</v>
      </c>
    </row>
    <row r="92" spans="1:16">
      <c r="A92" s="3">
        <v>66870.62</v>
      </c>
      <c r="B92" s="3">
        <v>6055</v>
      </c>
      <c r="C92" s="3">
        <v>7.4999999999999997E-2</v>
      </c>
      <c r="D92" s="3">
        <v>19</v>
      </c>
      <c r="E92" s="3">
        <v>93.8</v>
      </c>
      <c r="F92" s="3">
        <v>0.54</v>
      </c>
      <c r="G92" s="3">
        <v>0</v>
      </c>
      <c r="H92" s="3">
        <v>4.3</v>
      </c>
      <c r="I92" s="3">
        <v>692008.64</v>
      </c>
      <c r="J92">
        <v>0</v>
      </c>
      <c r="K92">
        <v>1</v>
      </c>
      <c r="L92">
        <v>0</v>
      </c>
      <c r="M92">
        <v>0</v>
      </c>
      <c r="N92">
        <f>80932.3403+(A92*1.00478527)+(B92*31.2531946)+(C92*-114994.58)+(D92*908.742526)+(E92*2836.50299)+(F92*-3518.8948)+(G92*22177.7478)+(H92*23748.7981)</f>
        <v>712286.17116876738</v>
      </c>
      <c r="O92">
        <f>I92-N92</f>
        <v>-20277.531168767367</v>
      </c>
      <c r="P92">
        <f>O92^2</f>
        <v>411178270.30033207</v>
      </c>
    </row>
    <row r="93" spans="1:16">
      <c r="A93" s="3">
        <v>40553.11</v>
      </c>
      <c r="B93" s="3">
        <v>5317</v>
      </c>
      <c r="C93" s="3">
        <v>0.16500000000000001</v>
      </c>
      <c r="D93" s="3">
        <v>17</v>
      </c>
      <c r="E93" s="3">
        <v>84.3</v>
      </c>
      <c r="F93" s="3">
        <v>11.82</v>
      </c>
      <c r="G93" s="3">
        <v>0</v>
      </c>
      <c r="H93" s="3">
        <v>4.0999999999999996</v>
      </c>
      <c r="I93" s="3">
        <v>559660.84</v>
      </c>
      <c r="J93">
        <v>0</v>
      </c>
      <c r="K93">
        <v>0</v>
      </c>
      <c r="L93">
        <v>0</v>
      </c>
      <c r="M93">
        <v>0</v>
      </c>
      <c r="N93">
        <f>80932.3403+(A93*1.00478527)+(B93*31.2531946)+(C93*-114994.58)+(D93*908.742526)+(E93*2836.50299)+(F93*-3518.8948)+(G93*22177.7478)+(H93*23748.7981)</f>
        <v>579221.19854188967</v>
      </c>
      <c r="O93">
        <f>I93-N93</f>
        <v>-19560.358541889698</v>
      </c>
      <c r="P93">
        <f>O93^2</f>
        <v>382607626.28727728</v>
      </c>
    </row>
    <row r="94" spans="1:16">
      <c r="A94" s="3">
        <v>18996.32</v>
      </c>
      <c r="B94" s="3">
        <v>1260</v>
      </c>
      <c r="C94" s="3">
        <v>0.14499999999999999</v>
      </c>
      <c r="D94" s="3">
        <v>9</v>
      </c>
      <c r="E94" s="3">
        <v>86.4</v>
      </c>
      <c r="F94" s="3">
        <v>4.3099999999999996</v>
      </c>
      <c r="G94" s="3">
        <v>0</v>
      </c>
      <c r="H94" s="3">
        <v>4.5999999999999996</v>
      </c>
      <c r="I94" s="3">
        <v>450711.92</v>
      </c>
      <c r="J94">
        <v>0</v>
      </c>
      <c r="K94">
        <v>0</v>
      </c>
      <c r="L94">
        <v>0</v>
      </c>
      <c r="M94">
        <v>0</v>
      </c>
      <c r="N94">
        <f>80932.3403+(A94*1.00478527)+(B94*31.2531946)+(C94*-114994.58)+(D94*908.742526)+(E94*2836.50299)+(F94*-3518.8948)+(G94*22177.7478)+(H94*23748.7981)</f>
        <v>470054.94965820643</v>
      </c>
      <c r="O94">
        <f>I94-N94</f>
        <v>-19343.029658206447</v>
      </c>
      <c r="P94">
        <f>O94^2</f>
        <v>374152796.35825425</v>
      </c>
    </row>
    <row r="95" spans="1:16">
      <c r="A95" s="3">
        <v>81902.58</v>
      </c>
      <c r="B95" s="3">
        <v>7775</v>
      </c>
      <c r="C95" s="3">
        <v>0.215</v>
      </c>
      <c r="D95" s="3">
        <v>20</v>
      </c>
      <c r="E95" s="3">
        <v>85.2</v>
      </c>
      <c r="F95" s="3">
        <v>4.8899999999999997</v>
      </c>
      <c r="G95" s="3">
        <v>1</v>
      </c>
      <c r="H95" s="3">
        <v>4.2</v>
      </c>
      <c r="I95" s="3">
        <v>726776.22</v>
      </c>
      <c r="J95">
        <v>0</v>
      </c>
      <c r="K95">
        <v>0</v>
      </c>
      <c r="L95">
        <v>0</v>
      </c>
      <c r="M95">
        <v>0</v>
      </c>
      <c r="N95">
        <f>80932.3403+(A95*1.00478527)+(B95*31.2531946)+(C95*-114994.58)+(D95*908.742526)+(E95*2836.50299)+(F95*-3518.8948)+(G95*22177.7478)+(H95*23748.7981)</f>
        <v>746056.80908999662</v>
      </c>
      <c r="O95">
        <f>I95-N95</f>
        <v>-19280.589089996647</v>
      </c>
      <c r="P95">
        <f>O95^2</f>
        <v>371741115.65729773</v>
      </c>
    </row>
    <row r="96" spans="1:16">
      <c r="A96" s="3">
        <v>70488.2</v>
      </c>
      <c r="B96" s="3">
        <v>4312</v>
      </c>
      <c r="C96" s="3">
        <v>0.16900000000000001</v>
      </c>
      <c r="D96" s="3">
        <v>12</v>
      </c>
      <c r="E96" s="3">
        <v>90.2</v>
      </c>
      <c r="F96" s="3">
        <v>3.71</v>
      </c>
      <c r="G96" s="3">
        <v>0</v>
      </c>
      <c r="H96" s="3">
        <v>3.2</v>
      </c>
      <c r="I96" s="3">
        <v>577732.56999999995</v>
      </c>
      <c r="J96">
        <v>1</v>
      </c>
      <c r="K96">
        <v>0</v>
      </c>
      <c r="L96">
        <v>0</v>
      </c>
      <c r="M96">
        <v>0</v>
      </c>
      <c r="N96">
        <f>80932.3403+(A96*1.00478527)+(B96*31.2531946)+(C96*-114994.58)+(D96*908.742526)+(E96*2836.50299)+(F96*-3518.8948)+(G96*22177.7478)+(H96*23748.7981)</f>
        <v>596786.07068601402</v>
      </c>
      <c r="O96">
        <f>I96-N96</f>
        <v>-19053.500686014071</v>
      </c>
      <c r="P96">
        <f>O96^2</f>
        <v>363035888.39193869</v>
      </c>
    </row>
    <row r="97" spans="1:16">
      <c r="A97" s="3">
        <v>46213.45</v>
      </c>
      <c r="B97" s="3">
        <v>10616</v>
      </c>
      <c r="C97" s="3">
        <v>0.122</v>
      </c>
      <c r="D97" s="3">
        <v>22</v>
      </c>
      <c r="E97" s="3">
        <v>85.2</v>
      </c>
      <c r="F97" s="3">
        <v>0.2</v>
      </c>
      <c r="G97" s="3">
        <v>1</v>
      </c>
      <c r="H97" s="3">
        <v>4.0999999999999996</v>
      </c>
      <c r="I97" s="3">
        <v>806615.54</v>
      </c>
      <c r="J97">
        <v>0</v>
      </c>
      <c r="K97">
        <v>0</v>
      </c>
      <c r="L97">
        <v>0</v>
      </c>
      <c r="M97">
        <v>0</v>
      </c>
      <c r="N97">
        <f>80932.3403+(A97*1.00478527)+(B97*31.2531946)+(C97*-114994.58)+(D97*908.742526)+(E97*2836.50299)+(F97*-3518.8948)+(G97*22177.7478)+(H97*23748.7981)</f>
        <v>825627.94061948149</v>
      </c>
      <c r="O97">
        <f>I97-N97</f>
        <v>-19012.400619481457</v>
      </c>
      <c r="P97">
        <f>O97^2</f>
        <v>361471377.31565893</v>
      </c>
    </row>
    <row r="98" spans="1:16">
      <c r="A98" s="3">
        <v>37828.5</v>
      </c>
      <c r="B98" s="3">
        <v>8221</v>
      </c>
      <c r="C98" s="3">
        <v>9.6000000000000002E-2</v>
      </c>
      <c r="D98" s="3">
        <v>19</v>
      </c>
      <c r="E98" s="3">
        <v>81.5</v>
      </c>
      <c r="F98" s="3">
        <v>3.19</v>
      </c>
      <c r="G98" s="3">
        <v>0</v>
      </c>
      <c r="H98" s="3">
        <v>4.8</v>
      </c>
      <c r="I98" s="3">
        <v>697155.3</v>
      </c>
      <c r="J98">
        <v>0</v>
      </c>
      <c r="K98">
        <v>1</v>
      </c>
      <c r="L98">
        <v>0</v>
      </c>
      <c r="M98">
        <v>0</v>
      </c>
      <c r="N98">
        <f>80932.3403+(A98*1.00478527)+(B98*31.2531946)+(C98*-114994.58)+(D98*908.742526)+(E98*2836.50299)+(F98*-3518.8948)+(G98*22177.7478)+(H98*23748.7981)</f>
        <v>716044.95115979505</v>
      </c>
      <c r="O98">
        <f>I98-N98</f>
        <v>-18889.651159795001</v>
      </c>
      <c r="P98">
        <f>O98^2</f>
        <v>356818920.9387446</v>
      </c>
    </row>
    <row r="99" spans="1:16">
      <c r="A99" s="3">
        <v>19365.060000000001</v>
      </c>
      <c r="B99" s="3">
        <v>2378</v>
      </c>
      <c r="C99" s="3">
        <v>0</v>
      </c>
      <c r="D99" s="3">
        <v>12</v>
      </c>
      <c r="E99" s="3">
        <v>94.8</v>
      </c>
      <c r="F99" s="3">
        <v>0.2</v>
      </c>
      <c r="G99" s="3">
        <v>0</v>
      </c>
      <c r="H99" s="3">
        <v>3.5</v>
      </c>
      <c r="I99" s="3">
        <v>518049.26</v>
      </c>
      <c r="J99">
        <v>0</v>
      </c>
      <c r="K99">
        <v>0</v>
      </c>
      <c r="L99">
        <v>0</v>
      </c>
      <c r="M99">
        <v>0</v>
      </c>
      <c r="N99">
        <f>80932.3403+(A99*1.00478527)+(B99*31.2531946)+(C99*-114994.58)+(D99*908.742526)+(E99*2836.50299)+(F99*-3518.8948)+(G99*22177.7478)+(H99*23748.7981)</f>
        <v>536932.57225346612</v>
      </c>
      <c r="O99">
        <f>I99-N99</f>
        <v>-18883.312253466109</v>
      </c>
      <c r="P99">
        <f>O99^2</f>
        <v>356579481.66190332</v>
      </c>
    </row>
    <row r="100" spans="1:16">
      <c r="A100" s="3">
        <v>57390.04</v>
      </c>
      <c r="B100" s="3">
        <v>7374</v>
      </c>
      <c r="C100" s="3">
        <v>0.21</v>
      </c>
      <c r="D100" s="3">
        <v>21</v>
      </c>
      <c r="E100" s="3">
        <v>91.8</v>
      </c>
      <c r="F100" s="3">
        <v>0.2</v>
      </c>
      <c r="G100" s="3">
        <v>0</v>
      </c>
      <c r="H100" s="3">
        <v>3.1</v>
      </c>
      <c r="I100" s="3">
        <v>679230.86</v>
      </c>
      <c r="J100">
        <v>0</v>
      </c>
      <c r="K100">
        <v>0</v>
      </c>
      <c r="L100">
        <v>0</v>
      </c>
      <c r="M100">
        <v>0</v>
      </c>
      <c r="N100">
        <f>80932.3403+(A100*1.00478527)+(B100*31.2531946)+(C100*-114994.58)+(D100*908.742526)+(E100*2836.50299)+(F100*-3518.8948)+(G100*22177.7478)+(H100*23748.7981)</f>
        <v>697301.2649951108</v>
      </c>
      <c r="O100">
        <f>I100-N100</f>
        <v>-18070.404995110817</v>
      </c>
      <c r="P100">
        <f>O100^2</f>
        <v>326539536.68732595</v>
      </c>
    </row>
    <row r="101" spans="1:16">
      <c r="A101" s="3">
        <v>24362.98</v>
      </c>
      <c r="B101" s="3">
        <v>1462</v>
      </c>
      <c r="C101" s="3">
        <v>0.11700000000000001</v>
      </c>
      <c r="D101" s="3">
        <v>6</v>
      </c>
      <c r="E101" s="3">
        <v>89.3</v>
      </c>
      <c r="F101" s="3">
        <v>15.06</v>
      </c>
      <c r="G101" s="3">
        <v>0</v>
      </c>
      <c r="H101" s="3">
        <v>3.2</v>
      </c>
      <c r="I101" s="3">
        <v>401582.58</v>
      </c>
      <c r="J101">
        <v>0</v>
      </c>
      <c r="K101">
        <v>0</v>
      </c>
      <c r="L101">
        <v>0</v>
      </c>
      <c r="M101">
        <v>0</v>
      </c>
      <c r="N101">
        <f>80932.3403+(A101*1.00478527)+(B101*31.2531946)+(C101*-114994.58)+(D101*908.742526)+(E101*2836.50299)+(F101*-3518.8948)+(G101*22177.7478)+(H101*23748.7981)</f>
        <v>419403.47877750464</v>
      </c>
      <c r="O101">
        <f>I101-N101</f>
        <v>-17820.898777504626</v>
      </c>
      <c r="P101">
        <f>O101^2</f>
        <v>317584433.2380659</v>
      </c>
    </row>
    <row r="102" spans="1:16">
      <c r="A102" s="3">
        <v>36813.449999999997</v>
      </c>
      <c r="B102" s="3">
        <v>2834</v>
      </c>
      <c r="C102" s="3">
        <v>0.191</v>
      </c>
      <c r="D102" s="3">
        <v>11</v>
      </c>
      <c r="E102" s="3">
        <v>81.8</v>
      </c>
      <c r="F102" s="3">
        <v>2.33</v>
      </c>
      <c r="G102" s="3">
        <v>0</v>
      </c>
      <c r="H102" s="3">
        <v>3.3</v>
      </c>
      <c r="I102" s="3">
        <v>479050.5</v>
      </c>
      <c r="J102">
        <v>0</v>
      </c>
      <c r="K102">
        <v>0</v>
      </c>
      <c r="L102">
        <v>0</v>
      </c>
      <c r="M102">
        <v>0</v>
      </c>
      <c r="N102">
        <f>80932.3403+(A102*1.00478527)+(B102*31.2531946)+(C102*-114994.58)+(D102*908.742526)+(E102*2836.50299)+(F102*-3518.8948)+(G102*22177.7478)+(H102*23748.7981)</f>
        <v>496723.66252828145</v>
      </c>
      <c r="O102">
        <f>I102-N102</f>
        <v>-17673.162528281449</v>
      </c>
      <c r="P102">
        <f>O102^2</f>
        <v>312340673.75105155</v>
      </c>
    </row>
    <row r="103" spans="1:16">
      <c r="A103" s="3">
        <v>70284.06</v>
      </c>
      <c r="B103" s="3">
        <v>9109</v>
      </c>
      <c r="C103" s="3">
        <v>4.0000000000000001E-3</v>
      </c>
      <c r="D103" s="3">
        <v>23</v>
      </c>
      <c r="E103" s="3">
        <v>87</v>
      </c>
      <c r="F103" s="3">
        <v>3.65</v>
      </c>
      <c r="G103" s="3">
        <v>0</v>
      </c>
      <c r="H103" s="3">
        <v>3.7</v>
      </c>
      <c r="I103" s="3">
        <v>761122.42</v>
      </c>
      <c r="J103">
        <v>0</v>
      </c>
      <c r="K103">
        <v>1</v>
      </c>
      <c r="L103">
        <v>0</v>
      </c>
      <c r="M103">
        <v>0</v>
      </c>
      <c r="N103">
        <f>80932.3403+(A103*1.00478527)+(B103*31.2531946)+(C103*-114994.58)+(D103*908.742526)+(E103*2836.50299)+(F103*-3518.8948)+(G103*22177.7478)+(H103*23748.7981)</f>
        <v>778481.52497319621</v>
      </c>
      <c r="O103">
        <f>I103-N103</f>
        <v>-17359.104973196168</v>
      </c>
      <c r="P103">
        <f>O103^2</f>
        <v>301338525.47044396</v>
      </c>
    </row>
    <row r="104" spans="1:16">
      <c r="A104" s="3">
        <v>74539.14</v>
      </c>
      <c r="B104" s="3">
        <v>4487</v>
      </c>
      <c r="C104" s="3">
        <v>0.14000000000000001</v>
      </c>
      <c r="D104" s="3">
        <v>10</v>
      </c>
      <c r="E104" s="3">
        <v>90.4</v>
      </c>
      <c r="F104" s="3">
        <v>0.59</v>
      </c>
      <c r="G104" s="3">
        <v>0</v>
      </c>
      <c r="H104" s="3">
        <v>4.5</v>
      </c>
      <c r="I104" s="3">
        <v>633009.53</v>
      </c>
      <c r="J104">
        <v>0</v>
      </c>
      <c r="K104">
        <v>0</v>
      </c>
      <c r="L104">
        <v>0</v>
      </c>
      <c r="M104">
        <v>0</v>
      </c>
      <c r="N104">
        <f>80932.3403+(A104*1.00478527)+(B104*31.2531946)+(C104*-114994.58)+(D104*908.742526)+(E104*2836.50299)+(F104*-3518.8948)+(G104*22177.7478)+(H104*23748.7981)</f>
        <v>650262.75225466792</v>
      </c>
      <c r="O104">
        <f>I104-N104</f>
        <v>-17253.222254667897</v>
      </c>
      <c r="P104">
        <f>O104^2</f>
        <v>297673678.1689676</v>
      </c>
    </row>
    <row r="105" spans="1:16">
      <c r="A105" s="3">
        <v>42698.14</v>
      </c>
      <c r="B105" s="3">
        <v>7693</v>
      </c>
      <c r="C105" s="3">
        <v>0.187</v>
      </c>
      <c r="D105" s="3">
        <v>19</v>
      </c>
      <c r="E105" s="3">
        <v>90.1</v>
      </c>
      <c r="F105" s="3">
        <v>0.44</v>
      </c>
      <c r="G105" s="3">
        <v>0</v>
      </c>
      <c r="H105" s="3">
        <v>4.4000000000000004</v>
      </c>
      <c r="I105" s="3">
        <v>702318.94</v>
      </c>
      <c r="J105">
        <v>0</v>
      </c>
      <c r="K105">
        <v>0</v>
      </c>
      <c r="L105">
        <v>0</v>
      </c>
      <c r="M105">
        <v>0</v>
      </c>
      <c r="N105">
        <f>80932.3403+(A105*1.00478527)+(B105*31.2531946)+(C105*-114994.58)+(D105*908.742526)+(E105*2836.50299)+(F105*-3518.8948)+(G105*22177.7478)+(H105*23748.7981)</f>
        <v>718543.06734719779</v>
      </c>
      <c r="O105">
        <f>I105-N105</f>
        <v>-16224.127347197849</v>
      </c>
      <c r="P105">
        <f>O105^2</f>
        <v>263222308.17809314</v>
      </c>
    </row>
    <row r="106" spans="1:16">
      <c r="A106" s="3">
        <v>58981.91</v>
      </c>
      <c r="B106" s="3">
        <v>7324</v>
      </c>
      <c r="C106" s="3">
        <v>9.4E-2</v>
      </c>
      <c r="D106" s="3">
        <v>15</v>
      </c>
      <c r="E106" s="3">
        <v>95.8</v>
      </c>
      <c r="F106" s="3">
        <v>0.5</v>
      </c>
      <c r="G106" s="3">
        <v>0</v>
      </c>
      <c r="H106" s="3">
        <v>3.5</v>
      </c>
      <c r="I106" s="3">
        <v>708985.19</v>
      </c>
      <c r="J106">
        <v>0</v>
      </c>
      <c r="K106">
        <v>0</v>
      </c>
      <c r="L106">
        <v>0</v>
      </c>
      <c r="M106">
        <v>0</v>
      </c>
      <c r="N106">
        <f>80932.3403+(A106*1.00478527)+(B106*31.2531946)+(C106*-114994.58)+(D106*908.742526)+(E106*2836.50299)+(F106*-3518.8948)+(G106*22177.7478)+(H106*23748.7981)</f>
        <v>725014.87167686573</v>
      </c>
      <c r="O106">
        <f>I106-N106</f>
        <v>-16029.681676865788</v>
      </c>
      <c r="P106">
        <f>O106^2</f>
        <v>256950694.66164678</v>
      </c>
    </row>
    <row r="107" spans="1:16">
      <c r="A107" s="3">
        <v>62582.71</v>
      </c>
      <c r="B107" s="3">
        <v>5479</v>
      </c>
      <c r="C107" s="3">
        <v>4.8000000000000001E-2</v>
      </c>
      <c r="D107" s="3">
        <v>16</v>
      </c>
      <c r="E107" s="3">
        <v>81.2</v>
      </c>
      <c r="F107" s="3">
        <v>1.46</v>
      </c>
      <c r="G107" s="3">
        <v>0</v>
      </c>
      <c r="H107" s="3">
        <v>4.5</v>
      </c>
      <c r="I107" s="3">
        <v>640666.53</v>
      </c>
      <c r="J107">
        <v>0</v>
      </c>
      <c r="K107">
        <v>0</v>
      </c>
      <c r="L107">
        <v>0</v>
      </c>
      <c r="M107">
        <v>0</v>
      </c>
      <c r="N107">
        <f>80932.3403+(A107*1.00478527)+(B107*31.2531946)+(C107*-114994.58)+(D107*908.742526)+(E107*2836.50299)+(F107*-3518.8948)+(G107*22177.7478)+(H107*23748.7981)</f>
        <v>656126.96708408161</v>
      </c>
      <c r="O107">
        <f>I107-N107</f>
        <v>-15460.437084081583</v>
      </c>
      <c r="P107">
        <f>O107^2</f>
        <v>239025114.83084503</v>
      </c>
    </row>
    <row r="108" spans="1:16">
      <c r="A108" s="3">
        <v>44747</v>
      </c>
      <c r="B108" s="3">
        <v>11076</v>
      </c>
      <c r="C108" s="3">
        <v>0.17599999999999999</v>
      </c>
      <c r="D108" s="3">
        <v>27</v>
      </c>
      <c r="E108" s="3">
        <v>98.3</v>
      </c>
      <c r="F108" s="3">
        <v>0.54</v>
      </c>
      <c r="G108" s="3">
        <v>0</v>
      </c>
      <c r="H108" s="3">
        <v>4.4000000000000004</v>
      </c>
      <c r="I108" s="3">
        <v>842439.67</v>
      </c>
      <c r="J108">
        <v>0</v>
      </c>
      <c r="K108">
        <v>1</v>
      </c>
      <c r="L108">
        <v>0</v>
      </c>
      <c r="M108">
        <v>0</v>
      </c>
      <c r="N108">
        <f>80932.3403+(A108*1.00478527)+(B108*31.2531946)+(C108*-114994.58)+(D108*908.742526)+(E108*2836.50299)+(F108*-3518.8948)+(G108*22177.7478)+(H108*23748.7981)</f>
        <v>857773.60465328989</v>
      </c>
      <c r="O108">
        <f>I108-N108</f>
        <v>-15333.934653289849</v>
      </c>
      <c r="P108">
        <f>O108^2</f>
        <v>235129551.95136327</v>
      </c>
    </row>
    <row r="109" spans="1:16">
      <c r="A109" s="3">
        <v>59117.9</v>
      </c>
      <c r="B109" s="3">
        <v>4263</v>
      </c>
      <c r="C109" s="3">
        <v>0.11899999999999999</v>
      </c>
      <c r="D109" s="3">
        <v>9</v>
      </c>
      <c r="E109" s="3">
        <v>87.6</v>
      </c>
      <c r="F109" s="3">
        <v>4.01</v>
      </c>
      <c r="G109" s="3">
        <v>0</v>
      </c>
      <c r="H109" s="3">
        <v>3.6</v>
      </c>
      <c r="I109" s="3">
        <v>573155.18999999994</v>
      </c>
      <c r="J109">
        <v>0</v>
      </c>
      <c r="K109">
        <v>1</v>
      </c>
      <c r="L109">
        <v>0</v>
      </c>
      <c r="M109">
        <v>0</v>
      </c>
      <c r="N109">
        <f>80932.3403+(A109*1.00478527)+(B109*31.2531946)+(C109*-114994.58)+(D109*908.742526)+(E109*2836.50299)+(F109*-3518.8948)+(G109*22177.7478)+(H109*23748.7981)</f>
        <v>587922.398643133</v>
      </c>
      <c r="O109">
        <f>I109-N109</f>
        <v>-14767.208643133054</v>
      </c>
      <c r="P109">
        <f>O109^2</f>
        <v>218070451.10982355</v>
      </c>
    </row>
    <row r="110" spans="1:16">
      <c r="A110" s="3">
        <v>68491.11</v>
      </c>
      <c r="B110" s="3">
        <v>11154</v>
      </c>
      <c r="C110" s="3">
        <v>1E-3</v>
      </c>
      <c r="D110" s="3">
        <v>24</v>
      </c>
      <c r="E110" s="3">
        <v>89.4</v>
      </c>
      <c r="F110" s="3">
        <v>5.27</v>
      </c>
      <c r="G110" s="3">
        <v>1</v>
      </c>
      <c r="H110" s="3">
        <v>3.9</v>
      </c>
      <c r="I110" s="3">
        <v>855341.28</v>
      </c>
      <c r="J110">
        <v>0</v>
      </c>
      <c r="K110">
        <v>0</v>
      </c>
      <c r="L110">
        <v>0</v>
      </c>
      <c r="M110">
        <v>0</v>
      </c>
      <c r="N110">
        <f>80932.3403+(A110*1.00478527)+(B110*31.2531946)+(C110*-114994.58)+(D110*908.742526)+(E110*2836.50299)+(F110*-3518.8948)+(G110*22177.7478)+(H110*23748.7981)</f>
        <v>869881.00946634973</v>
      </c>
      <c r="O110">
        <f>I110-N110</f>
        <v>-14539.729466349701</v>
      </c>
      <c r="P110">
        <f>O110^2</f>
        <v>211403732.95463777</v>
      </c>
    </row>
    <row r="111" spans="1:16">
      <c r="A111" s="3">
        <v>63630.21</v>
      </c>
      <c r="B111" s="3">
        <v>4460</v>
      </c>
      <c r="C111" s="3">
        <v>0.23499999999999999</v>
      </c>
      <c r="D111" s="3">
        <v>14</v>
      </c>
      <c r="E111" s="3">
        <v>98.6</v>
      </c>
      <c r="F111" s="3">
        <v>5.52</v>
      </c>
      <c r="G111" s="3">
        <v>0</v>
      </c>
      <c r="H111" s="3">
        <v>3.5</v>
      </c>
      <c r="I111" s="3">
        <v>599603.4</v>
      </c>
      <c r="J111">
        <v>0</v>
      </c>
      <c r="K111">
        <v>0</v>
      </c>
      <c r="L111">
        <v>0</v>
      </c>
      <c r="M111">
        <v>0</v>
      </c>
      <c r="N111">
        <f>80932.3403+(A111*1.00478527)+(B111*31.2531946)+(C111*-114994.58)+(D111*908.742526)+(E111*2836.50299)+(F111*-3518.8948)+(G111*22177.7478)+(H111*23748.7981)</f>
        <v>613330.64388300665</v>
      </c>
      <c r="O111">
        <f>I111-N111</f>
        <v>-13727.243883006624</v>
      </c>
      <c r="P111">
        <f>O111^2</f>
        <v>188437224.62354279</v>
      </c>
    </row>
    <row r="112" spans="1:16">
      <c r="A112" s="3">
        <v>70040.31</v>
      </c>
      <c r="B112" s="3">
        <v>9175</v>
      </c>
      <c r="C112" s="3">
        <v>0.107</v>
      </c>
      <c r="D112" s="3">
        <v>23</v>
      </c>
      <c r="E112" s="3">
        <v>95.1</v>
      </c>
      <c r="F112" s="3">
        <v>6.08</v>
      </c>
      <c r="G112" s="3">
        <v>1</v>
      </c>
      <c r="H112" s="3">
        <v>3.4</v>
      </c>
      <c r="I112" s="3">
        <v>784502.68</v>
      </c>
      <c r="J112">
        <v>0</v>
      </c>
      <c r="K112">
        <v>0</v>
      </c>
      <c r="L112">
        <v>0</v>
      </c>
      <c r="M112">
        <v>0</v>
      </c>
      <c r="N112">
        <f>80932.3403+(A112*1.00478527)+(B112*31.2531946)+(C112*-114994.58)+(D112*908.742526)+(E112*2836.50299)+(F112*-3518.8948)+(G112*22177.7478)+(H112*23748.7981)</f>
        <v>797932.74589223368</v>
      </c>
      <c r="O112">
        <f>I112-N112</f>
        <v>-13430.06589223363</v>
      </c>
      <c r="P112">
        <f>O112^2</f>
        <v>180366669.86973709</v>
      </c>
    </row>
    <row r="113" spans="1:16">
      <c r="A113" s="3">
        <v>62060.43</v>
      </c>
      <c r="B113" s="3">
        <v>2613</v>
      </c>
      <c r="C113" s="3">
        <v>0.216</v>
      </c>
      <c r="D113" s="3">
        <v>12</v>
      </c>
      <c r="E113" s="3">
        <v>92.1</v>
      </c>
      <c r="F113" s="3">
        <v>1.55</v>
      </c>
      <c r="G113" s="3">
        <v>0</v>
      </c>
      <c r="H113" s="3">
        <v>4.7</v>
      </c>
      <c r="I113" s="3">
        <v>565810.99</v>
      </c>
      <c r="J113">
        <v>1</v>
      </c>
      <c r="K113">
        <v>0</v>
      </c>
      <c r="L113">
        <v>0</v>
      </c>
      <c r="M113">
        <v>0</v>
      </c>
      <c r="N113">
        <f>80932.3403+(A113*1.00478527)+(B113*31.2531946)+(C113*-114994.58)+(D113*908.742526)+(E113*2836.50299)+(F113*-3518.8948)+(G113*22177.7478)+(H113*23748.7981)</f>
        <v>578427.41424466611</v>
      </c>
      <c r="O113">
        <f>I113-N113</f>
        <v>-12616.424244666123</v>
      </c>
      <c r="P113">
        <f>O113^2</f>
        <v>159174160.72139916</v>
      </c>
    </row>
    <row r="114" spans="1:16">
      <c r="A114" s="3">
        <v>66250.53</v>
      </c>
      <c r="B114" s="3">
        <v>10618</v>
      </c>
      <c r="C114" s="3">
        <v>0.14199999999999999</v>
      </c>
      <c r="D114" s="3">
        <v>27</v>
      </c>
      <c r="E114" s="3">
        <v>88.3</v>
      </c>
      <c r="F114" s="3">
        <v>1.1000000000000001</v>
      </c>
      <c r="G114" s="3">
        <v>1</v>
      </c>
      <c r="H114" s="3">
        <v>4.4000000000000004</v>
      </c>
      <c r="I114" s="3">
        <v>849018.3</v>
      </c>
      <c r="J114">
        <v>0</v>
      </c>
      <c r="K114">
        <v>0</v>
      </c>
      <c r="L114">
        <v>0</v>
      </c>
      <c r="M114">
        <v>0</v>
      </c>
      <c r="N114">
        <f>80932.3403+(A114*1.00478527)+(B114*31.2531946)+(C114*-114994.58)+(D114*908.742526)+(E114*2836.50299)+(F114*-3518.8948)+(G114*22177.7478)+(H114*23748.7981)</f>
        <v>860818.02425549307</v>
      </c>
      <c r="O114">
        <f>I114-N114</f>
        <v>-11799.724255493027</v>
      </c>
      <c r="P114">
        <f>O114^2</f>
        <v>139233492.50567049</v>
      </c>
    </row>
    <row r="115" spans="1:16">
      <c r="A115" s="3">
        <v>60881.01</v>
      </c>
      <c r="B115" s="3">
        <v>5410</v>
      </c>
      <c r="C115" s="3">
        <v>0.17899999999999999</v>
      </c>
      <c r="D115" s="3">
        <v>15</v>
      </c>
      <c r="E115" s="3">
        <v>83.9</v>
      </c>
      <c r="F115" s="3">
        <v>5.24</v>
      </c>
      <c r="G115" s="3">
        <v>0</v>
      </c>
      <c r="H115" s="3">
        <v>4.5999999999999996</v>
      </c>
      <c r="I115" s="3">
        <v>621369.57999999996</v>
      </c>
      <c r="J115">
        <v>0</v>
      </c>
      <c r="K115">
        <v>0</v>
      </c>
      <c r="L115">
        <v>1</v>
      </c>
      <c r="M115">
        <v>0</v>
      </c>
      <c r="N115">
        <f>80932.3403+(A115*1.00478527)+(B115*31.2531946)+(C115*-114994.58)+(D115*908.742526)+(E115*2836.50299)+(F115*-3518.8948)+(G115*22177.7478)+(H115*23748.7981)</f>
        <v>633019.63659572275</v>
      </c>
      <c r="O115">
        <f>I115-N115</f>
        <v>-11650.056595722795</v>
      </c>
      <c r="P115">
        <f>O115^2</f>
        <v>135723818.68354422</v>
      </c>
    </row>
    <row r="116" spans="1:16">
      <c r="A116" s="3">
        <v>59405.68</v>
      </c>
      <c r="B116" s="3">
        <v>2515</v>
      </c>
      <c r="C116" s="3">
        <v>3.9E-2</v>
      </c>
      <c r="D116" s="3">
        <v>12</v>
      </c>
      <c r="E116" s="3">
        <v>76</v>
      </c>
      <c r="F116" s="3">
        <v>5.1100000000000003</v>
      </c>
      <c r="G116" s="3">
        <v>0</v>
      </c>
      <c r="H116" s="3">
        <v>3.7</v>
      </c>
      <c r="I116" s="3">
        <v>500298.48</v>
      </c>
      <c r="J116">
        <v>0</v>
      </c>
      <c r="K116">
        <v>0</v>
      </c>
      <c r="L116">
        <v>0</v>
      </c>
      <c r="M116">
        <v>0</v>
      </c>
      <c r="N116">
        <f>80932.3403+(A116*1.00478527)+(B116*31.2531946)+(C116*-114994.58)+(D116*908.742526)+(E116*2836.50299)+(F116*-3518.8948)+(G116*22177.7478)+(H116*23748.7981)</f>
        <v>511107.42641133355</v>
      </c>
      <c r="O116">
        <f>I116-N116</f>
        <v>-10808.946411333571</v>
      </c>
      <c r="P116">
        <f>O116^2</f>
        <v>116833322.52308087</v>
      </c>
    </row>
    <row r="117" spans="1:16">
      <c r="A117" s="3">
        <v>92090.14</v>
      </c>
      <c r="B117" s="3">
        <v>9476</v>
      </c>
      <c r="C117" s="3">
        <v>7.0000000000000007E-2</v>
      </c>
      <c r="D117" s="3">
        <v>24</v>
      </c>
      <c r="E117" s="3">
        <v>94.3</v>
      </c>
      <c r="F117" s="3">
        <v>0.87</v>
      </c>
      <c r="G117" s="3">
        <v>0</v>
      </c>
      <c r="H117" s="3">
        <v>3.7</v>
      </c>
      <c r="I117" s="3">
        <v>825060.52</v>
      </c>
      <c r="J117">
        <v>0</v>
      </c>
      <c r="K117">
        <v>0</v>
      </c>
      <c r="L117">
        <v>1</v>
      </c>
      <c r="M117">
        <v>0</v>
      </c>
      <c r="N117">
        <f>80932.3403+(A117*1.00478527)+(B117*31.2531946)+(C117*-114994.58)+(D117*908.742526)+(E117*2836.50299)+(F117*-3518.8948)+(G117*22177.7478)+(H117*23748.7981)</f>
        <v>835669.97498883761</v>
      </c>
      <c r="O117">
        <f>I117-N117</f>
        <v>-10609.454988837591</v>
      </c>
      <c r="P117">
        <f>O117^2</f>
        <v>112560535.16017085</v>
      </c>
    </row>
    <row r="118" spans="1:16">
      <c r="A118" s="3">
        <v>50909.27</v>
      </c>
      <c r="B118" s="3">
        <v>3152</v>
      </c>
      <c r="C118" s="3">
        <v>0.06</v>
      </c>
      <c r="D118" s="3">
        <v>13</v>
      </c>
      <c r="E118" s="3">
        <v>93.7</v>
      </c>
      <c r="F118" s="3">
        <v>10.79</v>
      </c>
      <c r="G118" s="3">
        <v>0</v>
      </c>
      <c r="H118" s="3">
        <v>3.5</v>
      </c>
      <c r="I118" s="3">
        <v>537058.32999999996</v>
      </c>
      <c r="J118">
        <v>1</v>
      </c>
      <c r="K118">
        <v>0</v>
      </c>
      <c r="L118">
        <v>0</v>
      </c>
      <c r="M118">
        <v>0</v>
      </c>
      <c r="N118">
        <f>80932.3403+(A118*1.00478527)+(B118*31.2531946)+(C118*-114994.58)+(D118*908.742526)+(E118*2836.50299)+(F118*-3518.8948)+(G118*22177.7478)+(H118*23748.7981)</f>
        <v>546441.52094065282</v>
      </c>
      <c r="O118">
        <f>I118-N118</f>
        <v>-9383.1909406528575</v>
      </c>
      <c r="P118">
        <f>O118^2</f>
        <v>88044272.228749856</v>
      </c>
    </row>
    <row r="119" spans="1:16">
      <c r="A119" s="3">
        <v>38752.800000000003</v>
      </c>
      <c r="B119" s="3">
        <v>4712</v>
      </c>
      <c r="C119" s="3">
        <v>7.4999999999999997E-2</v>
      </c>
      <c r="D119" s="3">
        <v>15</v>
      </c>
      <c r="E119" s="3">
        <v>89.7</v>
      </c>
      <c r="F119" s="3">
        <v>4.5599999999999996</v>
      </c>
      <c r="G119" s="3">
        <v>0</v>
      </c>
      <c r="H119" s="3">
        <v>4.3</v>
      </c>
      <c r="I119" s="3">
        <v>605775.32999999996</v>
      </c>
      <c r="J119">
        <v>0</v>
      </c>
      <c r="K119">
        <v>0</v>
      </c>
      <c r="L119">
        <v>1</v>
      </c>
      <c r="M119">
        <v>0</v>
      </c>
      <c r="N119">
        <f>80932.3403+(A119*1.00478527)+(B119*31.2531946)+(C119*-114994.58)+(D119*908.742526)+(E119*2836.50299)+(F119*-3518.8948)+(G119*22177.7478)+(H119*23748.7981)</f>
        <v>612650.17000145605</v>
      </c>
      <c r="O119">
        <f>I119-N119</f>
        <v>-6874.8400014560902</v>
      </c>
      <c r="P119">
        <f>O119^2</f>
        <v>47263425.045620777</v>
      </c>
    </row>
    <row r="120" spans="1:16">
      <c r="A120" s="3">
        <v>47391.09</v>
      </c>
      <c r="B120" s="3">
        <v>11224</v>
      </c>
      <c r="C120" s="3">
        <v>0.14699999999999999</v>
      </c>
      <c r="D120" s="3">
        <v>25</v>
      </c>
      <c r="E120" s="3">
        <v>88.4</v>
      </c>
      <c r="F120" s="3">
        <v>2.44</v>
      </c>
      <c r="G120" s="3">
        <v>0</v>
      </c>
      <c r="H120" s="3">
        <v>4.9000000000000004</v>
      </c>
      <c r="I120" s="3">
        <v>836908.24</v>
      </c>
      <c r="J120">
        <v>0</v>
      </c>
      <c r="K120">
        <v>0</v>
      </c>
      <c r="L120">
        <v>0</v>
      </c>
      <c r="M120">
        <v>0</v>
      </c>
      <c r="N120">
        <f>80932.3403+(A120*1.00478527)+(B120*31.2531946)+(C120*-114994.58)+(D120*908.742526)+(E120*2836.50299)+(F120*-3518.8948)+(G120*22177.7478)+(H120*23748.7981)</f>
        <v>843680.29723564431</v>
      </c>
      <c r="O120">
        <f>I120-N120</f>
        <v>-6772.0572356443154</v>
      </c>
      <c r="P120">
        <f>O120^2</f>
        <v>45860759.202842526</v>
      </c>
    </row>
    <row r="121" spans="1:16">
      <c r="A121" s="3">
        <v>75305.710000000006</v>
      </c>
      <c r="B121" s="3">
        <v>10940</v>
      </c>
      <c r="C121" s="3">
        <v>6.0000000000000001E-3</v>
      </c>
      <c r="D121" s="3">
        <v>26</v>
      </c>
      <c r="E121" s="3">
        <v>76.5</v>
      </c>
      <c r="F121" s="3">
        <v>1.32</v>
      </c>
      <c r="G121" s="3">
        <v>0</v>
      </c>
      <c r="H121" s="3">
        <v>4.5</v>
      </c>
      <c r="I121" s="3">
        <v>834017.02</v>
      </c>
      <c r="J121">
        <v>0</v>
      </c>
      <c r="K121">
        <v>0</v>
      </c>
      <c r="L121">
        <v>0</v>
      </c>
      <c r="M121">
        <v>0</v>
      </c>
      <c r="N121">
        <f>80932.3403+(A121*1.00478527)+(B121*31.2531946)+(C121*-114994.58)+(D121*908.742526)+(E121*2836.50299)+(F121*-3518.8948)+(G121*22177.7478)+(H121*23748.7981)</f>
        <v>840662.82462389185</v>
      </c>
      <c r="O121">
        <f>I121-N121</f>
        <v>-6645.8046238918323</v>
      </c>
      <c r="P121">
        <f>O121^2</f>
        <v>44166719.098942056</v>
      </c>
    </row>
    <row r="122" spans="1:16">
      <c r="A122" s="3">
        <v>61995.3</v>
      </c>
      <c r="B122" s="3">
        <v>10192</v>
      </c>
      <c r="C122" s="3">
        <v>0.19800000000000001</v>
      </c>
      <c r="D122" s="3">
        <v>21</v>
      </c>
      <c r="E122" s="3">
        <v>87.6</v>
      </c>
      <c r="F122" s="3">
        <v>3.63</v>
      </c>
      <c r="G122" s="3">
        <v>1</v>
      </c>
      <c r="H122" s="3">
        <v>3.8</v>
      </c>
      <c r="I122" s="3">
        <v>799756.46</v>
      </c>
      <c r="J122">
        <v>0</v>
      </c>
      <c r="K122">
        <v>0</v>
      </c>
      <c r="L122">
        <v>1</v>
      </c>
      <c r="M122">
        <v>0</v>
      </c>
      <c r="N122">
        <f>80932.3403+(A122*1.00478527)+(B122*31.2531946)+(C122*-114994.58)+(D122*908.742526)+(E122*2836.50299)+(F122*-3518.8948)+(G122*22177.7478)+(H122*23748.7981)</f>
        <v>806198.78449843102</v>
      </c>
      <c r="O122">
        <f>I122-N122</f>
        <v>-6442.3244984310586</v>
      </c>
      <c r="P122">
        <f>O122^2</f>
        <v>41503544.943084992</v>
      </c>
    </row>
    <row r="123" spans="1:16">
      <c r="A123" s="3">
        <v>30301.86</v>
      </c>
      <c r="B123" s="3">
        <v>6939</v>
      </c>
      <c r="C123" s="3">
        <v>0.09</v>
      </c>
      <c r="D123" s="3">
        <v>16</v>
      </c>
      <c r="E123" s="3">
        <v>90.3</v>
      </c>
      <c r="F123" s="3">
        <v>3.49</v>
      </c>
      <c r="G123" s="3">
        <v>0</v>
      </c>
      <c r="H123" s="3">
        <v>4</v>
      </c>
      <c r="I123" s="3">
        <v>665534.69999999995</v>
      </c>
      <c r="J123">
        <v>1</v>
      </c>
      <c r="K123">
        <v>0</v>
      </c>
      <c r="L123">
        <v>1</v>
      </c>
      <c r="M123">
        <v>0</v>
      </c>
      <c r="N123">
        <f>80932.3403+(A123*1.00478527)+(B123*31.2531946)+(C123*-114994.58)+(D123*908.742526)+(E123*2836.50299)+(F123*-3518.8948)+(G123*22177.7478)+(H123*23748.7981)</f>
        <v>671285.95797200222</v>
      </c>
      <c r="O123">
        <f>I123-N123</f>
        <v>-5751.2579720022622</v>
      </c>
      <c r="P123">
        <f>O123^2</f>
        <v>33076968.260519575</v>
      </c>
    </row>
    <row r="124" spans="1:16">
      <c r="A124" s="3">
        <v>27194.639999999999</v>
      </c>
      <c r="B124" s="3">
        <v>7404</v>
      </c>
      <c r="C124" s="3">
        <v>8.7999999999999995E-2</v>
      </c>
      <c r="D124" s="3">
        <v>18</v>
      </c>
      <c r="E124" s="3">
        <v>90.2</v>
      </c>
      <c r="F124" s="3">
        <v>1.2</v>
      </c>
      <c r="G124" s="3">
        <v>0</v>
      </c>
      <c r="H124" s="3">
        <v>3.4</v>
      </c>
      <c r="I124" s="3">
        <v>672670.54</v>
      </c>
      <c r="J124">
        <v>0</v>
      </c>
      <c r="K124">
        <v>0</v>
      </c>
      <c r="L124">
        <v>0</v>
      </c>
      <c r="M124">
        <v>0</v>
      </c>
      <c r="N124">
        <f>80932.3403+(A124*1.00478527)+(B124*31.2531946)+(C124*-114994.58)+(D124*908.742526)+(E124*2836.50299)+(F124*-3518.8948)+(G124*22177.7478)+(H124*23748.7981)</f>
        <v>678269.41871935281</v>
      </c>
      <c r="O124">
        <f>I124-N124</f>
        <v>-5598.8787193527678</v>
      </c>
      <c r="P124">
        <f>O124^2</f>
        <v>31347442.914021291</v>
      </c>
    </row>
    <row r="125" spans="1:16">
      <c r="A125" s="3">
        <v>37705.879999999997</v>
      </c>
      <c r="B125" s="3">
        <v>1268</v>
      </c>
      <c r="C125" s="3">
        <v>0.25900000000000001</v>
      </c>
      <c r="D125" s="3">
        <v>9</v>
      </c>
      <c r="E125" s="3">
        <v>84.1</v>
      </c>
      <c r="F125" s="3">
        <v>4.7699999999999996</v>
      </c>
      <c r="G125" s="3">
        <v>0</v>
      </c>
      <c r="H125" s="3">
        <v>3.8</v>
      </c>
      <c r="I125" s="3">
        <v>443275.59</v>
      </c>
      <c r="J125">
        <v>0</v>
      </c>
      <c r="K125">
        <v>0</v>
      </c>
      <c r="L125">
        <v>0</v>
      </c>
      <c r="M125">
        <v>0</v>
      </c>
      <c r="N125">
        <f>80932.3403+(A125*1.00478527)+(B125*31.2531946)+(C125*-114994.58)+(D125*908.742526)+(E125*2836.50299)+(F125*-3518.8948)+(G125*22177.7478)+(H125*23748.7981)</f>
        <v>448852.99642618757</v>
      </c>
      <c r="O125">
        <f>I125-N125</f>
        <v>-5577.4064261875465</v>
      </c>
      <c r="P125">
        <f>O125^2</f>
        <v>31107462.442878138</v>
      </c>
    </row>
    <row r="126" spans="1:16">
      <c r="A126" s="3">
        <v>74413.88</v>
      </c>
      <c r="B126" s="3">
        <v>9449</v>
      </c>
      <c r="C126" s="3">
        <v>3.9E-2</v>
      </c>
      <c r="D126" s="3">
        <v>23</v>
      </c>
      <c r="E126" s="3">
        <v>92.1</v>
      </c>
      <c r="F126" s="3">
        <v>2.12</v>
      </c>
      <c r="G126" s="3">
        <v>0</v>
      </c>
      <c r="H126" s="3">
        <v>3.5</v>
      </c>
      <c r="I126" s="3">
        <v>798952.17</v>
      </c>
      <c r="J126">
        <v>1</v>
      </c>
      <c r="K126">
        <v>0</v>
      </c>
      <c r="L126">
        <v>0</v>
      </c>
      <c r="M126">
        <v>0</v>
      </c>
      <c r="N126">
        <f>80932.3403+(A126*1.00478527)+(B126*31.2531946)+(C126*-114994.58)+(D126*908.742526)+(E126*2836.50299)+(F126*-3518.8948)+(G126*22177.7478)+(H126*23748.7981)</f>
        <v>804332.69781394769</v>
      </c>
      <c r="O126">
        <f>I126-N126</f>
        <v>-5380.5278139476432</v>
      </c>
      <c r="P126">
        <f>O126^2</f>
        <v>28950079.556664202</v>
      </c>
    </row>
    <row r="127" spans="1:16">
      <c r="A127" s="3">
        <v>33605.18</v>
      </c>
      <c r="B127" s="3">
        <v>9225</v>
      </c>
      <c r="C127" s="3">
        <v>0.159</v>
      </c>
      <c r="D127" s="3">
        <v>23</v>
      </c>
      <c r="E127" s="3">
        <v>88.4</v>
      </c>
      <c r="F127" s="3">
        <v>5.91</v>
      </c>
      <c r="G127" s="3">
        <v>0</v>
      </c>
      <c r="H127" s="3">
        <v>2.8</v>
      </c>
      <c r="I127" s="3">
        <v>697287.9</v>
      </c>
      <c r="J127">
        <v>0</v>
      </c>
      <c r="K127">
        <v>0</v>
      </c>
      <c r="L127">
        <v>1</v>
      </c>
      <c r="M127">
        <v>0</v>
      </c>
      <c r="N127">
        <f>80932.3403+(A127*1.00478527)+(B127*31.2531946)+(C127*-114994.58)+(D127*908.742526)+(E127*2836.50299)+(F127*-3518.8948)+(G127*22177.7478)+(H127*23748.7981)</f>
        <v>702072.82095069857</v>
      </c>
      <c r="O127">
        <f>I127-N127</f>
        <v>-4784.9209506985499</v>
      </c>
      <c r="P127">
        <f>O127^2</f>
        <v>22895468.504433915</v>
      </c>
    </row>
    <row r="128" spans="1:16">
      <c r="A128" s="3">
        <v>63457.19</v>
      </c>
      <c r="B128" s="3">
        <v>10125</v>
      </c>
      <c r="C128" s="3">
        <v>9.7000000000000003E-2</v>
      </c>
      <c r="D128" s="3">
        <v>24</v>
      </c>
      <c r="E128" s="3">
        <v>87</v>
      </c>
      <c r="F128" s="3">
        <v>3.84</v>
      </c>
      <c r="G128" s="3">
        <v>1</v>
      </c>
      <c r="H128" s="3">
        <v>3.7</v>
      </c>
      <c r="I128" s="3">
        <v>810446.53</v>
      </c>
      <c r="J128">
        <v>0</v>
      </c>
      <c r="K128">
        <v>0</v>
      </c>
      <c r="L128">
        <v>0</v>
      </c>
      <c r="M128">
        <v>0</v>
      </c>
      <c r="N128">
        <f>80932.3403+(A128*1.00478527)+(B128*31.2531946)+(C128*-114994.58)+(D128*908.742526)+(E128*2836.50299)+(F128*-3518.8948)+(G128*22177.7478)+(H128*23748.7981)</f>
        <v>815098.63664459134</v>
      </c>
      <c r="O128">
        <f>I128-N128</f>
        <v>-4652.1066445913166</v>
      </c>
      <c r="P128">
        <f>O128^2</f>
        <v>21642096.232650679</v>
      </c>
    </row>
    <row r="129" spans="1:16">
      <c r="A129" s="3">
        <v>48465.599999999999</v>
      </c>
      <c r="B129" s="3">
        <v>5759</v>
      </c>
      <c r="C129" s="3">
        <v>0.154</v>
      </c>
      <c r="D129" s="3">
        <v>13</v>
      </c>
      <c r="E129" s="3">
        <v>87.5</v>
      </c>
      <c r="F129" s="3">
        <v>4.1399999999999997</v>
      </c>
      <c r="G129" s="3">
        <v>0</v>
      </c>
      <c r="H129" s="3">
        <v>4</v>
      </c>
      <c r="I129" s="3">
        <v>628538.30000000005</v>
      </c>
      <c r="J129">
        <v>0</v>
      </c>
      <c r="K129">
        <v>1</v>
      </c>
      <c r="L129">
        <v>0</v>
      </c>
      <c r="M129">
        <v>0</v>
      </c>
      <c r="N129">
        <f>80932.3403+(A129*1.00478527)+(B129*31.2531946)+(C129*-114994.58)+(D129*908.742526)+(E129*2836.50299)+(F129*-3518.8948)+(G129*22177.7478)+(H129*23748.7981)</f>
        <v>632342.47605411196</v>
      </c>
      <c r="O129">
        <f>I129-N129</f>
        <v>-3804.1760541119147</v>
      </c>
      <c r="P129">
        <f>O129^2</f>
        <v>14471755.450678498</v>
      </c>
    </row>
    <row r="130" spans="1:16">
      <c r="A130" s="3">
        <v>72932.55</v>
      </c>
      <c r="B130" s="3">
        <v>5765</v>
      </c>
      <c r="C130" s="3">
        <v>2.5999999999999999E-2</v>
      </c>
      <c r="D130" s="3">
        <v>17</v>
      </c>
      <c r="E130" s="3">
        <v>81.8</v>
      </c>
      <c r="F130" s="3">
        <v>5.0999999999999996</v>
      </c>
      <c r="G130" s="3">
        <v>0</v>
      </c>
      <c r="H130" s="3">
        <v>3.6</v>
      </c>
      <c r="I130" s="3">
        <v>642751.42000000004</v>
      </c>
      <c r="J130">
        <v>1</v>
      </c>
      <c r="K130">
        <v>0</v>
      </c>
      <c r="L130">
        <v>0</v>
      </c>
      <c r="M130">
        <v>0</v>
      </c>
      <c r="N130">
        <f>80932.3403+(A130*1.00478527)+(B130*31.2531946)+(C130*-114994.58)+(D130*908.742526)+(E130*2836.50299)+(F130*-3518.8948)+(G130*22177.7478)+(H130*23748.7981)</f>
        <v>646422.57723653852</v>
      </c>
      <c r="O130">
        <f>I130-N130</f>
        <v>-3671.1572365384782</v>
      </c>
      <c r="P130">
        <f>O130^2</f>
        <v>13477395.455388837</v>
      </c>
    </row>
    <row r="131" spans="1:16">
      <c r="A131" s="3">
        <v>40220.18</v>
      </c>
      <c r="B131" s="3">
        <v>3783</v>
      </c>
      <c r="C131" s="3">
        <v>8.8999999999999996E-2</v>
      </c>
      <c r="D131" s="3">
        <v>14</v>
      </c>
      <c r="E131" s="3">
        <v>86.6</v>
      </c>
      <c r="F131" s="3">
        <v>3.63</v>
      </c>
      <c r="G131" s="3">
        <v>0</v>
      </c>
      <c r="H131" s="3">
        <v>3.7</v>
      </c>
      <c r="I131" s="3">
        <v>559422.02</v>
      </c>
      <c r="J131">
        <v>0</v>
      </c>
      <c r="K131">
        <v>0</v>
      </c>
      <c r="L131">
        <v>0</v>
      </c>
      <c r="M131">
        <v>0</v>
      </c>
      <c r="N131">
        <f>80932.3403+(A131*1.00478527)+(B131*31.2531946)+(C131*-114994.58)+(D131*908.742526)+(E131*2836.50299)+(F131*-3518.8948)+(G131*22177.7478)+(H131*23748.7981)</f>
        <v>562801.82141654857</v>
      </c>
      <c r="O131">
        <f>I131-N131</f>
        <v>-3379.8014165485511</v>
      </c>
      <c r="P131">
        <f>O131^2</f>
        <v>11423057.615303593</v>
      </c>
    </row>
    <row r="132" spans="1:16">
      <c r="A132" s="3">
        <v>86883.31</v>
      </c>
      <c r="B132" s="3">
        <v>6424</v>
      </c>
      <c r="C132" s="3">
        <v>5.7000000000000002E-2</v>
      </c>
      <c r="D132" s="3">
        <v>19</v>
      </c>
      <c r="E132" s="3">
        <v>85.2</v>
      </c>
      <c r="F132" s="3">
        <v>3.08</v>
      </c>
      <c r="G132" s="3">
        <v>0</v>
      </c>
      <c r="H132" s="3">
        <v>3.9</v>
      </c>
      <c r="I132" s="3">
        <v>700078.32</v>
      </c>
      <c r="J132">
        <v>1</v>
      </c>
      <c r="K132">
        <v>0</v>
      </c>
      <c r="L132">
        <v>1</v>
      </c>
      <c r="M132">
        <v>0</v>
      </c>
      <c r="N132">
        <f>80932.3403+(A132*1.00478527)+(B132*31.2531946)+(C132*-114994.58)+(D132*908.742526)+(E132*2836.50299)+(F132*-3518.8948)+(G132*22177.7478)+(H132*23748.7981)</f>
        <v>703165.52079524368</v>
      </c>
      <c r="O132">
        <f>I132-N132</f>
        <v>-3087.200795243727</v>
      </c>
      <c r="P132">
        <f>O132^2</f>
        <v>9530808.7501535006</v>
      </c>
    </row>
    <row r="133" spans="1:16">
      <c r="A133" s="3">
        <v>55788.61</v>
      </c>
      <c r="B133" s="3">
        <v>2312</v>
      </c>
      <c r="C133" s="3">
        <v>5.8000000000000003E-2</v>
      </c>
      <c r="D133" s="3">
        <v>10</v>
      </c>
      <c r="E133" s="3">
        <v>91.3</v>
      </c>
      <c r="F133" s="3">
        <v>1.99</v>
      </c>
      <c r="G133" s="3">
        <v>0</v>
      </c>
      <c r="H133" s="3">
        <v>3.8</v>
      </c>
      <c r="I133" s="3">
        <v>550962.93000000005</v>
      </c>
      <c r="J133">
        <v>0</v>
      </c>
      <c r="K133">
        <v>0</v>
      </c>
      <c r="L133">
        <v>0</v>
      </c>
      <c r="M133">
        <v>0</v>
      </c>
      <c r="N133">
        <f>80932.3403+(A133*1.00478527)+(B133*31.2531946)+(C133*-114994.58)+(D133*908.742526)+(E133*2836.50299)+(F133*-3518.8948)+(G133*22177.7478)+(H133*23748.7981)</f>
        <v>553878.59451197472</v>
      </c>
      <c r="O133">
        <f>I133-N133</f>
        <v>-2915.6645119746681</v>
      </c>
      <c r="P133">
        <f>O133^2</f>
        <v>8501099.5463884789</v>
      </c>
    </row>
    <row r="134" spans="1:16">
      <c r="A134" s="3">
        <v>48060.78</v>
      </c>
      <c r="B134" s="3">
        <v>8733</v>
      </c>
      <c r="C134" s="3">
        <v>0</v>
      </c>
      <c r="D134" s="3">
        <v>20</v>
      </c>
      <c r="E134" s="3">
        <v>89.9</v>
      </c>
      <c r="F134" s="3">
        <v>0.8</v>
      </c>
      <c r="G134" s="3">
        <v>0</v>
      </c>
      <c r="H134" s="3">
        <v>3.4</v>
      </c>
      <c r="I134" s="3">
        <v>750471.34</v>
      </c>
      <c r="J134">
        <v>0</v>
      </c>
      <c r="K134">
        <v>0</v>
      </c>
      <c r="L134">
        <v>0</v>
      </c>
      <c r="M134">
        <v>0</v>
      </c>
      <c r="N134">
        <f>80932.3403+(A134*1.00478527)+(B134*31.2531946)+(C134*-114994.58)+(D134*908.742526)+(E134*2836.50299)+(F134*-3518.8948)+(G134*22177.7478)+(H134*23748.7981)</f>
        <v>753264.51957151061</v>
      </c>
      <c r="O134">
        <f>I134-N134</f>
        <v>-2793.1795715106418</v>
      </c>
      <c r="P134">
        <f>O134^2</f>
        <v>7801852.118704373</v>
      </c>
    </row>
    <row r="135" spans="1:16">
      <c r="A135" s="3">
        <v>46123.88</v>
      </c>
      <c r="B135" s="3">
        <v>3227</v>
      </c>
      <c r="C135" s="3">
        <v>0.14299999999999999</v>
      </c>
      <c r="D135" s="3">
        <v>10</v>
      </c>
      <c r="E135" s="3">
        <v>75.400000000000006</v>
      </c>
      <c r="F135" s="3">
        <v>1.06</v>
      </c>
      <c r="G135" s="3">
        <v>0</v>
      </c>
      <c r="H135" s="3">
        <v>4.4000000000000004</v>
      </c>
      <c r="I135" s="3">
        <v>532644.46</v>
      </c>
      <c r="J135">
        <v>0</v>
      </c>
      <c r="K135">
        <v>0</v>
      </c>
      <c r="L135">
        <v>1</v>
      </c>
      <c r="M135">
        <v>0</v>
      </c>
      <c r="N135">
        <f>80932.3403+(A135*1.00478527)+(B135*31.2531946)+(C135*-114994.58)+(D135*908.742526)+(E135*2836.50299)+(F135*-3518.8948)+(G135*22177.7478)+(H135*23748.7981)</f>
        <v>535411.2034114477</v>
      </c>
      <c r="O135">
        <f>I135-N135</f>
        <v>-2766.7434114477364</v>
      </c>
      <c r="P135">
        <f>O135^2</f>
        <v>7654869.1047894582</v>
      </c>
    </row>
    <row r="136" spans="1:16">
      <c r="A136" s="3">
        <v>68410.929999999993</v>
      </c>
      <c r="B136" s="3">
        <v>10596</v>
      </c>
      <c r="C136" s="3">
        <v>0.20699999999999999</v>
      </c>
      <c r="D136" s="3">
        <v>25</v>
      </c>
      <c r="E136" s="3">
        <v>81.2</v>
      </c>
      <c r="F136" s="3">
        <v>0.21</v>
      </c>
      <c r="G136" s="3">
        <v>0</v>
      </c>
      <c r="H136" s="3">
        <v>4</v>
      </c>
      <c r="I136" s="3">
        <v>801830.35</v>
      </c>
      <c r="J136">
        <v>0</v>
      </c>
      <c r="K136">
        <v>0</v>
      </c>
      <c r="L136">
        <v>0</v>
      </c>
      <c r="M136">
        <v>0</v>
      </c>
      <c r="N136">
        <f>80932.3403+(A136*1.00478527)+(B136*31.2531946)+(C136*-114994.58)+(D136*908.742526)+(E136*2836.50299)+(F136*-3518.8948)+(G136*22177.7478)+(H136*23748.7981)</f>
        <v>804324.43742260104</v>
      </c>
      <c r="O136">
        <f>I136-N136</f>
        <v>-2494.0874226010637</v>
      </c>
      <c r="P136">
        <f>O136^2</f>
        <v>6220472.071576817</v>
      </c>
    </row>
    <row r="137" spans="1:16">
      <c r="A137" s="3">
        <v>88443.77</v>
      </c>
      <c r="B137" s="3">
        <v>4004</v>
      </c>
      <c r="C137" s="3">
        <v>0.20599999999999999</v>
      </c>
      <c r="D137" s="3">
        <v>11</v>
      </c>
      <c r="E137" s="3">
        <v>91.9</v>
      </c>
      <c r="F137" s="3">
        <v>5.95</v>
      </c>
      <c r="G137" s="3">
        <v>0</v>
      </c>
      <c r="H137" s="3">
        <v>3.92</v>
      </c>
      <c r="I137" s="3">
        <v>611766.72</v>
      </c>
      <c r="J137">
        <v>0</v>
      </c>
      <c r="K137">
        <v>0</v>
      </c>
      <c r="L137">
        <v>0</v>
      </c>
      <c r="M137">
        <v>0</v>
      </c>
      <c r="N137">
        <f>80932.3403+(A137*1.00478527)+(B137*31.2531946)+(C137*-114994.58)+(D137*908.742526)+(E137*2836.50299)+(F137*-3518.8948)+(G137*22177.7478)+(H137*23748.7981)</f>
        <v>614076.90237666795</v>
      </c>
      <c r="O137">
        <f>I137-N137</f>
        <v>-2310.1823766679736</v>
      </c>
      <c r="P137">
        <f>O137^2</f>
        <v>5336942.6134672873</v>
      </c>
    </row>
    <row r="138" spans="1:16">
      <c r="A138" s="3">
        <v>40102.879999999997</v>
      </c>
      <c r="B138" s="3">
        <v>2358</v>
      </c>
      <c r="C138" s="3">
        <v>0.11899999999999999</v>
      </c>
      <c r="D138" s="3">
        <v>9</v>
      </c>
      <c r="E138" s="3">
        <v>88.7</v>
      </c>
      <c r="F138" s="3">
        <v>1.6</v>
      </c>
      <c r="G138" s="3">
        <v>0</v>
      </c>
      <c r="H138" s="3">
        <v>4.2</v>
      </c>
      <c r="I138" s="3">
        <v>533121.26</v>
      </c>
      <c r="J138">
        <v>0</v>
      </c>
      <c r="K138">
        <v>0</v>
      </c>
      <c r="L138">
        <v>0</v>
      </c>
      <c r="M138">
        <v>0</v>
      </c>
      <c r="N138">
        <f>80932.3403+(A138*1.00478527)+(B138*31.2531946)+(C138*-114994.58)+(D138*908.742526)+(E138*2836.50299)+(F138*-3518.8948)+(G138*22177.7478)+(H138*23748.7981)</f>
        <v>535129.01954237756</v>
      </c>
      <c r="O138">
        <f>I138-N138</f>
        <v>-2007.7595423775492</v>
      </c>
      <c r="P138">
        <f>O138^2</f>
        <v>4031098.3800081057</v>
      </c>
    </row>
    <row r="139" spans="1:16">
      <c r="A139" s="3">
        <v>35303.300000000003</v>
      </c>
      <c r="B139" s="3">
        <v>8789</v>
      </c>
      <c r="C139" s="3">
        <v>0.123</v>
      </c>
      <c r="D139" s="3">
        <v>22</v>
      </c>
      <c r="E139" s="3">
        <v>86.1</v>
      </c>
      <c r="F139" s="3">
        <v>9.43</v>
      </c>
      <c r="G139" s="3">
        <v>0</v>
      </c>
      <c r="H139" s="3">
        <v>4.2</v>
      </c>
      <c r="I139" s="3">
        <v>706285.52</v>
      </c>
      <c r="J139">
        <v>1</v>
      </c>
      <c r="K139">
        <v>0</v>
      </c>
      <c r="L139">
        <v>1</v>
      </c>
      <c r="M139">
        <v>0</v>
      </c>
      <c r="N139">
        <f>80932.3403+(A139*1.00478527)+(B139*31.2531946)+(C139*-114994.58)+(D139*908.742526)+(E139*2836.50299)+(F139*-3518.8948)+(G139*22177.7478)+(H139*23748.7981)</f>
        <v>707721.5871887909</v>
      </c>
      <c r="O139">
        <f>I139-N139</f>
        <v>-1436.0671887908829</v>
      </c>
      <c r="P139">
        <f>O139^2</f>
        <v>2062288.9707217494</v>
      </c>
    </row>
    <row r="140" spans="1:16">
      <c r="A140" s="3">
        <v>47944.14</v>
      </c>
      <c r="B140" s="3">
        <v>6169</v>
      </c>
      <c r="C140" s="3">
        <v>0.11899999999999999</v>
      </c>
      <c r="D140" s="3">
        <v>17</v>
      </c>
      <c r="E140" s="3">
        <v>92.2</v>
      </c>
      <c r="F140" s="3">
        <v>3.02</v>
      </c>
      <c r="G140" s="3">
        <v>0</v>
      </c>
      <c r="H140" s="3">
        <v>4.0999999999999996</v>
      </c>
      <c r="I140" s="3">
        <v>670629.48</v>
      </c>
      <c r="J140">
        <v>0</v>
      </c>
      <c r="K140">
        <v>0</v>
      </c>
      <c r="L140">
        <v>0</v>
      </c>
      <c r="M140">
        <v>0</v>
      </c>
      <c r="N140">
        <f>80932.3403+(A140*1.00478527)+(B140*31.2531946)+(C140*-114994.58)+(D140*908.742526)+(E140*2836.50299)+(F140*-3518.8948)+(G140*22177.7478)+(H140*23748.7981)</f>
        <v>671939.71695621777</v>
      </c>
      <c r="O140">
        <f>I140-N140</f>
        <v>-1310.2369562177919</v>
      </c>
      <c r="P140">
        <f>O140^2</f>
        <v>1716720.8814388639</v>
      </c>
    </row>
    <row r="141" spans="1:16">
      <c r="A141" s="3">
        <v>25990.54</v>
      </c>
      <c r="B141" s="3">
        <v>9249</v>
      </c>
      <c r="C141" s="3">
        <v>0.13900000000000001</v>
      </c>
      <c r="D141" s="3">
        <v>23</v>
      </c>
      <c r="E141" s="3">
        <v>92.5</v>
      </c>
      <c r="F141" s="3">
        <v>6.37</v>
      </c>
      <c r="G141" s="3">
        <v>0</v>
      </c>
      <c r="H141" s="3">
        <v>3.3</v>
      </c>
      <c r="I141" s="3">
        <v>718074.79</v>
      </c>
      <c r="J141">
        <v>0</v>
      </c>
      <c r="K141">
        <v>0</v>
      </c>
      <c r="L141">
        <v>1</v>
      </c>
      <c r="M141">
        <v>0</v>
      </c>
      <c r="N141">
        <f>80932.3403+(A141*1.00478527)+(B141*31.2531946)+(C141*-114994.58)+(D141*908.742526)+(E141*2836.50299)+(F141*-3518.8948)+(G141*22177.7478)+(H141*23748.7981)</f>
        <v>719357.08081374585</v>
      </c>
      <c r="O141">
        <f>I141-N141</f>
        <v>-1282.2908137458144</v>
      </c>
      <c r="P141">
        <f>O141^2</f>
        <v>1644269.7310169027</v>
      </c>
    </row>
    <row r="142" spans="1:16">
      <c r="A142" s="3">
        <v>66455.8</v>
      </c>
      <c r="B142" s="3">
        <v>10836</v>
      </c>
      <c r="C142" s="3">
        <v>8.8999999999999996E-2</v>
      </c>
      <c r="D142" s="3">
        <v>25</v>
      </c>
      <c r="E142" s="3">
        <v>85</v>
      </c>
      <c r="F142" s="3">
        <v>9.77</v>
      </c>
      <c r="G142" s="3">
        <v>0</v>
      </c>
      <c r="H142" s="3">
        <v>4.5</v>
      </c>
      <c r="I142" s="3">
        <v>811452.72</v>
      </c>
      <c r="J142">
        <v>0</v>
      </c>
      <c r="K142">
        <v>0</v>
      </c>
      <c r="L142">
        <v>0</v>
      </c>
      <c r="M142">
        <v>0</v>
      </c>
      <c r="N142">
        <f>80932.3403+(A142*1.00478527)+(B142*31.2531946)+(C142*-114994.58)+(D142*908.742526)+(E142*2836.50299)+(F142*-3518.8948)+(G142*22177.7478)+(H142*23748.7981)</f>
        <v>812442.55486566597</v>
      </c>
      <c r="O142">
        <f>I142-N142</f>
        <v>-989.83486566599458</v>
      </c>
      <c r="P142">
        <f>O142^2</f>
        <v>979773.06128801755</v>
      </c>
    </row>
    <row r="143" spans="1:16">
      <c r="A143" s="3">
        <v>34285.21</v>
      </c>
      <c r="B143" s="3">
        <v>9172</v>
      </c>
      <c r="C143" s="3">
        <v>0.21299999999999999</v>
      </c>
      <c r="D143" s="3">
        <v>22</v>
      </c>
      <c r="E143" s="3">
        <v>88.3</v>
      </c>
      <c r="F143" s="3">
        <v>10.46</v>
      </c>
      <c r="G143" s="3">
        <v>1</v>
      </c>
      <c r="H143" s="3">
        <v>3.8</v>
      </c>
      <c r="I143" s="3">
        <v>723060.76</v>
      </c>
      <c r="J143">
        <v>1</v>
      </c>
      <c r="K143">
        <v>0</v>
      </c>
      <c r="L143">
        <v>0</v>
      </c>
      <c r="M143">
        <v>0</v>
      </c>
      <c r="N143">
        <f>80932.3403+(A143*1.00478527)+(B143*31.2531946)+(C143*-114994.58)+(D143*908.742526)+(E143*2836.50299)+(F143*-3518.8948)+(G143*22177.7478)+(H143*23748.7981)</f>
        <v>723613.16017905669</v>
      </c>
      <c r="O143">
        <f>I143-N143</f>
        <v>-552.40017905668356</v>
      </c>
      <c r="P143">
        <f>O143^2</f>
        <v>305145.95782185608</v>
      </c>
    </row>
    <row r="144" spans="1:16">
      <c r="A144" s="3">
        <v>61245.41</v>
      </c>
      <c r="B144" s="3">
        <v>8156</v>
      </c>
      <c r="C144" s="3">
        <v>0.156</v>
      </c>
      <c r="D144" s="3">
        <v>19</v>
      </c>
      <c r="E144" s="3">
        <v>92.9</v>
      </c>
      <c r="F144" s="3">
        <v>9.0500000000000007</v>
      </c>
      <c r="G144" s="3">
        <v>0</v>
      </c>
      <c r="H144" s="3">
        <v>3.8</v>
      </c>
      <c r="I144" s="3">
        <v>718330.53</v>
      </c>
      <c r="J144">
        <v>1</v>
      </c>
      <c r="K144">
        <v>0</v>
      </c>
      <c r="L144">
        <v>1</v>
      </c>
      <c r="M144">
        <v>0</v>
      </c>
      <c r="N144">
        <f>80932.3403+(A144*1.00478527)+(B144*31.2531946)+(C144*-114994.58)+(D144*908.742526)+(E144*2836.50299)+(F144*-3518.8948)+(G144*22177.7478)+(H144*23748.7981)</f>
        <v>718609.39740571077</v>
      </c>
      <c r="O144">
        <f>I144-N144</f>
        <v>-278.86740571074188</v>
      </c>
      <c r="P144">
        <f>O144^2</f>
        <v>77767.029967839509</v>
      </c>
    </row>
    <row r="145" spans="1:16">
      <c r="A145" s="3">
        <v>27398.28</v>
      </c>
      <c r="B145" s="3">
        <v>1723</v>
      </c>
      <c r="C145" s="3">
        <v>0.17100000000000001</v>
      </c>
      <c r="D145" s="3">
        <v>9</v>
      </c>
      <c r="E145" s="3">
        <v>81</v>
      </c>
      <c r="F145" s="3">
        <v>0.74</v>
      </c>
      <c r="G145" s="3">
        <v>0</v>
      </c>
      <c r="H145" s="3">
        <v>4.5999999999999996</v>
      </c>
      <c r="I145" s="3">
        <v>487738.26</v>
      </c>
      <c r="J145">
        <v>0</v>
      </c>
      <c r="K145">
        <v>0</v>
      </c>
      <c r="L145">
        <v>0</v>
      </c>
      <c r="M145">
        <v>0</v>
      </c>
      <c r="N145">
        <f>80932.3403+(A145*1.00478527)+(B145*31.2531946)+(C145*-114994.58)+(D145*908.742526)+(E145*2836.50299)+(F145*-3518.8948)+(G145*22177.7478)+(H145*23748.7981)</f>
        <v>487222.82361513551</v>
      </c>
      <c r="O145">
        <f>I145-N145</f>
        <v>515.43638486450072</v>
      </c>
      <c r="P145">
        <f>O145^2</f>
        <v>265674.66684218572</v>
      </c>
    </row>
    <row r="146" spans="1:16">
      <c r="A146" s="3">
        <v>18599.21</v>
      </c>
      <c r="B146" s="3">
        <v>3027</v>
      </c>
      <c r="C146" s="3">
        <v>0.122</v>
      </c>
      <c r="D146" s="3">
        <v>11</v>
      </c>
      <c r="E146" s="3">
        <v>80.900000000000006</v>
      </c>
      <c r="F146" s="3">
        <v>6.44</v>
      </c>
      <c r="G146" s="3">
        <v>0</v>
      </c>
      <c r="H146" s="3">
        <v>4.2</v>
      </c>
      <c r="I146" s="3">
        <v>497439.82</v>
      </c>
      <c r="J146">
        <v>0</v>
      </c>
      <c r="K146">
        <v>1</v>
      </c>
      <c r="L146">
        <v>0</v>
      </c>
      <c r="M146">
        <v>0</v>
      </c>
      <c r="N146">
        <f>80932.3403+(A146*1.00478527)+(B146*31.2531946)+(C146*-114994.58)+(D146*908.742526)+(E146*2836.50299)+(F146*-3518.8948)+(G146*22177.7478)+(H146*23748.7981)</f>
        <v>496747.16302083666</v>
      </c>
      <c r="O146">
        <f>I146-N146</f>
        <v>692.65697916335193</v>
      </c>
      <c r="P146">
        <f>O146^2</f>
        <v>479773.69078370015</v>
      </c>
    </row>
    <row r="147" spans="1:16">
      <c r="A147" s="3">
        <v>62507.16</v>
      </c>
      <c r="B147" s="3">
        <v>6000</v>
      </c>
      <c r="C147" s="3">
        <v>9.0999999999999998E-2</v>
      </c>
      <c r="D147" s="3">
        <v>14</v>
      </c>
      <c r="E147" s="3">
        <v>98.2</v>
      </c>
      <c r="F147" s="3">
        <v>4.38</v>
      </c>
      <c r="G147" s="3">
        <v>1</v>
      </c>
      <c r="H147" s="3">
        <v>3.9</v>
      </c>
      <c r="I147" s="3">
        <v>712375.77</v>
      </c>
      <c r="J147">
        <v>1</v>
      </c>
      <c r="K147">
        <v>0</v>
      </c>
      <c r="L147">
        <v>0</v>
      </c>
      <c r="M147">
        <v>0</v>
      </c>
      <c r="N147">
        <f>80932.3403+(A147*1.00478527)+(B147*31.2531946)+(C147*-114994.58)+(D147*908.742526)+(E147*2836.50299)+(F147*-3518.8948)+(G147*22177.7478)+(H147*23748.7981)</f>
        <v>711445.56490553322</v>
      </c>
      <c r="O147">
        <f>I147-N147</f>
        <v>930.2050944668008</v>
      </c>
      <c r="P147">
        <f>O147^2</f>
        <v>865281.51777198981</v>
      </c>
    </row>
    <row r="148" spans="1:16">
      <c r="A148" s="3">
        <v>46174.7</v>
      </c>
      <c r="B148" s="3">
        <v>4898</v>
      </c>
      <c r="C148" s="3">
        <v>0.114</v>
      </c>
      <c r="D148" s="3">
        <v>11</v>
      </c>
      <c r="E148" s="3">
        <v>91.7</v>
      </c>
      <c r="F148" s="3">
        <v>3.75</v>
      </c>
      <c r="G148" s="3">
        <v>0</v>
      </c>
      <c r="H148" s="3">
        <v>3.1</v>
      </c>
      <c r="I148" s="3">
        <v>599017.32999999996</v>
      </c>
      <c r="J148">
        <v>0</v>
      </c>
      <c r="K148">
        <v>0</v>
      </c>
      <c r="L148">
        <v>0</v>
      </c>
      <c r="M148">
        <v>0</v>
      </c>
      <c r="N148">
        <f>80932.3403+(A148*1.00478527)+(B148*31.2531946)+(C148*-114994.58)+(D148*908.742526)+(E148*2836.50299)+(F148*-3518.8948)+(G148*22177.7478)+(H148*23748.7981)</f>
        <v>597825.67431646888</v>
      </c>
      <c r="O148">
        <f>I148-N148</f>
        <v>1191.6556835310766</v>
      </c>
      <c r="P148">
        <f>O148^2</f>
        <v>1420043.2680919175</v>
      </c>
    </row>
    <row r="149" spans="1:16">
      <c r="A149" s="3">
        <v>63043.94</v>
      </c>
      <c r="B149" s="3">
        <v>10402</v>
      </c>
      <c r="C149" s="3">
        <v>0.159</v>
      </c>
      <c r="D149" s="3">
        <v>23</v>
      </c>
      <c r="E149" s="3">
        <v>93.9</v>
      </c>
      <c r="F149" s="3">
        <v>2.71</v>
      </c>
      <c r="G149" s="3">
        <v>0</v>
      </c>
      <c r="H149" s="3">
        <v>3.1</v>
      </c>
      <c r="I149" s="3">
        <v>804264</v>
      </c>
      <c r="J149">
        <v>0</v>
      </c>
      <c r="K149">
        <v>0</v>
      </c>
      <c r="L149">
        <v>0</v>
      </c>
      <c r="M149">
        <v>0</v>
      </c>
      <c r="N149">
        <f>80932.3403+(A149*1.00478527)+(B149*31.2531946)+(C149*-114994.58)+(D149*908.742526)+(E149*2836.50299)+(F149*-3518.8948)+(G149*22177.7478)+(H149*23748.7981)</f>
        <v>802423.33264496387</v>
      </c>
      <c r="O149">
        <f>I149-N149</f>
        <v>1840.6673550361302</v>
      </c>
      <c r="P149">
        <f>O149^2</f>
        <v>3388056.3118957034</v>
      </c>
    </row>
    <row r="150" spans="1:16">
      <c r="A150" s="3">
        <v>52483.77</v>
      </c>
      <c r="B150" s="3">
        <v>10453</v>
      </c>
      <c r="C150" s="3">
        <v>0.247</v>
      </c>
      <c r="D150" s="3">
        <v>25</v>
      </c>
      <c r="E150" s="3">
        <v>99</v>
      </c>
      <c r="F150" s="3">
        <v>6.31</v>
      </c>
      <c r="G150" s="3">
        <v>0</v>
      </c>
      <c r="H150" s="3">
        <v>3.6</v>
      </c>
      <c r="I150" s="3">
        <v>800979.78</v>
      </c>
      <c r="J150">
        <v>1</v>
      </c>
      <c r="K150">
        <v>0</v>
      </c>
      <c r="L150">
        <v>0</v>
      </c>
      <c r="M150">
        <v>0</v>
      </c>
      <c r="N150">
        <f>80932.3403+(A150*1.00478527)+(B150*31.2531946)+(C150*-114994.58)+(D150*908.742526)+(E150*2836.50299)+(F150*-3518.8948)+(G150*22177.7478)+(H150*23748.7981)</f>
        <v>798777.04733586777</v>
      </c>
      <c r="O150">
        <f>I150-N150</f>
        <v>2202.7326641322579</v>
      </c>
      <c r="P150">
        <f>O150^2</f>
        <v>4852031.1896351948</v>
      </c>
    </row>
    <row r="151" spans="1:16">
      <c r="A151" s="3">
        <v>21536.18</v>
      </c>
      <c r="B151" s="3">
        <v>8119</v>
      </c>
      <c r="C151" s="3">
        <v>0.22700000000000001</v>
      </c>
      <c r="D151" s="3">
        <v>20</v>
      </c>
      <c r="E151" s="3">
        <v>90.4</v>
      </c>
      <c r="F151" s="3">
        <v>1.7</v>
      </c>
      <c r="G151" s="3">
        <v>0</v>
      </c>
      <c r="H151" s="3">
        <v>3.3</v>
      </c>
      <c r="I151" s="3">
        <v>679888.74</v>
      </c>
      <c r="J151">
        <v>0</v>
      </c>
      <c r="K151">
        <v>0</v>
      </c>
      <c r="L151">
        <v>0</v>
      </c>
      <c r="M151">
        <v>0</v>
      </c>
      <c r="N151">
        <f>80932.3403+(A151*1.00478527)+(B151*31.2531946)+(C151*-114994.58)+(D151*908.742526)+(E151*2836.50299)+(F151*-3518.8948)+(G151*22177.7478)+(H151*23748.7981)</f>
        <v>677196.1274194686</v>
      </c>
      <c r="O151">
        <f>I151-N151</f>
        <v>2692.6125805313932</v>
      </c>
      <c r="P151">
        <f>O151^2</f>
        <v>7250162.5088359285</v>
      </c>
    </row>
    <row r="152" spans="1:16">
      <c r="A152" s="3">
        <v>64882.14</v>
      </c>
      <c r="B152" s="3">
        <v>3642</v>
      </c>
      <c r="C152" s="3">
        <v>1.9E-2</v>
      </c>
      <c r="D152" s="3">
        <v>13</v>
      </c>
      <c r="E152" s="3">
        <v>87.8</v>
      </c>
      <c r="F152" s="3">
        <v>4.5199999999999996</v>
      </c>
      <c r="G152" s="3">
        <v>0</v>
      </c>
      <c r="H152" s="3">
        <v>4.2</v>
      </c>
      <c r="I152" s="3">
        <v>605178</v>
      </c>
      <c r="J152">
        <v>0</v>
      </c>
      <c r="K152">
        <v>0</v>
      </c>
      <c r="L152">
        <v>1</v>
      </c>
      <c r="M152">
        <v>0</v>
      </c>
      <c r="N152">
        <f>80932.3403+(A152*1.00478527)+(B152*31.2531946)+(C152*-114994.58)+(D152*908.742526)+(E152*2836.50299)+(F152*-3518.8948)+(G152*22177.7478)+(H152*23748.7981)</f>
        <v>602462.35945527779</v>
      </c>
      <c r="O152">
        <f>I152-N152</f>
        <v>2715.640544722206</v>
      </c>
      <c r="P152">
        <f>O152^2</f>
        <v>7374703.5681391191</v>
      </c>
    </row>
    <row r="153" spans="1:16">
      <c r="A153" s="3">
        <v>56973.18</v>
      </c>
      <c r="B153" s="3">
        <v>6662</v>
      </c>
      <c r="C153" s="3">
        <v>0.1</v>
      </c>
      <c r="D153" s="3">
        <v>15</v>
      </c>
      <c r="E153" s="3">
        <v>77.7</v>
      </c>
      <c r="F153" s="3">
        <v>7.52</v>
      </c>
      <c r="G153" s="3">
        <v>1</v>
      </c>
      <c r="H153" s="3">
        <v>3.2</v>
      </c>
      <c r="I153" s="3">
        <v>643657.47</v>
      </c>
      <c r="J153">
        <v>0</v>
      </c>
      <c r="K153">
        <v>1</v>
      </c>
      <c r="L153">
        <v>0</v>
      </c>
      <c r="M153">
        <v>0</v>
      </c>
      <c r="N153">
        <f>80932.3403+(A153*1.00478527)+(B153*31.2531946)+(C153*-114994.58)+(D153*908.742526)+(E153*2836.50299)+(F153*-3518.8948)+(G153*22177.7478)+(H153*23748.7981)</f>
        <v>640626.70981125871</v>
      </c>
      <c r="O153">
        <f>I153-N153</f>
        <v>3030.7601887412602</v>
      </c>
      <c r="P153">
        <f>O153^2</f>
        <v>9185507.3216589596</v>
      </c>
    </row>
    <row r="154" spans="1:16">
      <c r="A154" s="3">
        <v>53367.73</v>
      </c>
      <c r="B154" s="3">
        <v>7291</v>
      </c>
      <c r="C154" s="3">
        <v>0.14599999999999999</v>
      </c>
      <c r="D154" s="3">
        <v>18</v>
      </c>
      <c r="E154" s="3">
        <v>90.6</v>
      </c>
      <c r="F154" s="3">
        <v>6.34</v>
      </c>
      <c r="G154" s="3">
        <v>1</v>
      </c>
      <c r="H154" s="3">
        <v>3.8</v>
      </c>
      <c r="I154" s="3">
        <v>712219.81</v>
      </c>
      <c r="J154">
        <v>0</v>
      </c>
      <c r="K154">
        <v>0</v>
      </c>
      <c r="L154">
        <v>0</v>
      </c>
      <c r="M154">
        <v>0</v>
      </c>
      <c r="N154">
        <f>80932.3403+(A154*1.00478527)+(B154*31.2531946)+(C154*-114994.58)+(D154*908.742526)+(E154*2836.50299)+(F154*-3518.8948)+(G154*22177.7478)+(H154*23748.7981)</f>
        <v>709091.20635593717</v>
      </c>
      <c r="O154">
        <f>I154-N154</f>
        <v>3128.6036440628814</v>
      </c>
      <c r="P154">
        <f>O154^2</f>
        <v>9788160.7616435401</v>
      </c>
    </row>
    <row r="155" spans="1:16">
      <c r="A155" s="3">
        <v>57696.69</v>
      </c>
      <c r="B155" s="3">
        <v>10218</v>
      </c>
      <c r="C155" s="3">
        <v>0.121</v>
      </c>
      <c r="D155" s="3">
        <v>25</v>
      </c>
      <c r="E155" s="3">
        <v>94.8</v>
      </c>
      <c r="F155" s="3">
        <v>2.99</v>
      </c>
      <c r="G155" s="3">
        <v>0</v>
      </c>
      <c r="H155" s="3">
        <v>3.5</v>
      </c>
      <c r="I155" s="3">
        <v>811771.14</v>
      </c>
      <c r="J155">
        <v>0</v>
      </c>
      <c r="K155">
        <v>0</v>
      </c>
      <c r="L155">
        <v>1</v>
      </c>
      <c r="M155">
        <v>0</v>
      </c>
      <c r="N155">
        <f>80932.3403+(A155*1.00478527)+(B155*31.2531946)+(C155*-114994.58)+(D155*908.742526)+(E155*2836.50299)+(F155*-3518.8948)+(G155*22177.7478)+(H155*23748.7981)</f>
        <v>808554.26728255628</v>
      </c>
      <c r="O155">
        <f>I155-N155</f>
        <v>3216.8727174437372</v>
      </c>
      <c r="P155">
        <f>O155^2</f>
        <v>10348270.080233855</v>
      </c>
    </row>
    <row r="156" spans="1:16">
      <c r="A156" s="3">
        <v>51133.43</v>
      </c>
      <c r="B156" s="3">
        <v>5150</v>
      </c>
      <c r="C156" s="3">
        <v>0.15</v>
      </c>
      <c r="D156" s="3">
        <v>12</v>
      </c>
      <c r="E156" s="3">
        <v>88.5</v>
      </c>
      <c r="F156" s="3">
        <v>1.54</v>
      </c>
      <c r="G156" s="3">
        <v>0</v>
      </c>
      <c r="H156" s="3">
        <v>3.2</v>
      </c>
      <c r="I156" s="3">
        <v>611924.27</v>
      </c>
      <c r="J156">
        <v>0</v>
      </c>
      <c r="K156">
        <v>0</v>
      </c>
      <c r="L156">
        <v>0</v>
      </c>
      <c r="M156">
        <v>0</v>
      </c>
      <c r="N156">
        <f>80932.3403+(A156*1.00478527)+(B156*31.2531946)+(C156*-114994.58)+(D156*908.742526)+(E156*2836.50299)+(F156*-3518.8948)+(G156*22177.7478)+(H156*23748.7981)</f>
        <v>608527.70361357601</v>
      </c>
      <c r="O156">
        <f>I156-N156</f>
        <v>3396.566386424005</v>
      </c>
      <c r="P156">
        <f>O156^2</f>
        <v>11536663.217385424</v>
      </c>
    </row>
    <row r="157" spans="1:16">
      <c r="A157" s="3">
        <v>52952.12</v>
      </c>
      <c r="B157" s="3">
        <v>4377</v>
      </c>
      <c r="C157" s="3">
        <v>9.1999999999999998E-2</v>
      </c>
      <c r="D157" s="3">
        <v>14</v>
      </c>
      <c r="E157" s="3">
        <v>88.6</v>
      </c>
      <c r="F157" s="3">
        <v>13.59</v>
      </c>
      <c r="G157" s="3">
        <v>0</v>
      </c>
      <c r="H157" s="3">
        <v>3.1</v>
      </c>
      <c r="I157" s="3">
        <v>553756.43000000005</v>
      </c>
      <c r="J157">
        <v>0</v>
      </c>
      <c r="K157">
        <v>0</v>
      </c>
      <c r="L157">
        <v>0</v>
      </c>
      <c r="M157">
        <v>0</v>
      </c>
      <c r="N157">
        <f>80932.3403+(A157*1.00478527)+(B157*31.2531946)+(C157*-114994.58)+(D157*908.742526)+(E157*2836.50299)+(F157*-3518.8948)+(G157*22177.7478)+(H157*23748.7981)</f>
        <v>550189.63595147245</v>
      </c>
      <c r="O157">
        <f>I157-N157</f>
        <v>3566.7940485276049</v>
      </c>
      <c r="P157">
        <f>O157^2</f>
        <v>12722019.784611942</v>
      </c>
    </row>
    <row r="158" spans="1:16">
      <c r="A158" s="3">
        <v>65012.19</v>
      </c>
      <c r="B158" s="3">
        <v>9598</v>
      </c>
      <c r="C158" s="3">
        <v>8.5000000000000006E-2</v>
      </c>
      <c r="D158" s="3">
        <v>24</v>
      </c>
      <c r="E158" s="3">
        <v>98.3</v>
      </c>
      <c r="F158" s="3">
        <v>0.89</v>
      </c>
      <c r="G158" s="3">
        <v>0</v>
      </c>
      <c r="H158" s="3">
        <v>3.8</v>
      </c>
      <c r="I158" s="3">
        <v>828623.85</v>
      </c>
      <c r="J158">
        <v>1</v>
      </c>
      <c r="K158">
        <v>0</v>
      </c>
      <c r="L158">
        <v>1</v>
      </c>
      <c r="M158">
        <v>0</v>
      </c>
      <c r="N158">
        <f>80932.3403+(A158*1.00478527)+(B158*31.2531946)+(C158*-114994.58)+(D158*908.742526)+(E158*2836.50299)+(F158*-3518.8948)+(G158*22177.7478)+(H158*23748.7981)</f>
        <v>824200.93460224126</v>
      </c>
      <c r="O158">
        <f>I158-N158</f>
        <v>4422.9153977587121</v>
      </c>
      <c r="P158">
        <f>O158^2</f>
        <v>19562180.615731105</v>
      </c>
    </row>
    <row r="159" spans="1:16">
      <c r="A159" s="3">
        <v>36475.71</v>
      </c>
      <c r="B159" s="3">
        <v>3559</v>
      </c>
      <c r="C159" s="3">
        <v>0.03</v>
      </c>
      <c r="D159" s="3">
        <v>8</v>
      </c>
      <c r="E159" s="3">
        <v>83.6</v>
      </c>
      <c r="F159" s="3">
        <v>1.41</v>
      </c>
      <c r="G159" s="3">
        <v>0</v>
      </c>
      <c r="H159" s="3">
        <v>4.2</v>
      </c>
      <c r="I159" s="3">
        <v>569100.78</v>
      </c>
      <c r="J159">
        <v>0</v>
      </c>
      <c r="K159">
        <v>0</v>
      </c>
      <c r="L159">
        <v>1</v>
      </c>
      <c r="M159">
        <v>0</v>
      </c>
      <c r="N159">
        <f>80932.3403+(A159*1.00478527)+(B159*31.2531946)+(C159*-114994.58)+(D159*908.742526)+(E159*2836.50299)+(F159*-3518.8948)+(G159*22177.7478)+(H159*23748.7981)</f>
        <v>564547.77912619163</v>
      </c>
      <c r="O159">
        <f>I159-N159</f>
        <v>4553.0008738083998</v>
      </c>
      <c r="P159">
        <f>O159^2</f>
        <v>20729816.956900053</v>
      </c>
    </row>
    <row r="160" spans="1:16">
      <c r="A160" s="3">
        <v>57143.3</v>
      </c>
      <c r="B160" s="3">
        <v>8038</v>
      </c>
      <c r="C160" s="3">
        <v>0.193</v>
      </c>
      <c r="D160" s="3">
        <v>17</v>
      </c>
      <c r="E160" s="3">
        <v>72.599999999999994</v>
      </c>
      <c r="F160" s="3">
        <v>4.5599999999999996</v>
      </c>
      <c r="G160" s="3">
        <v>0</v>
      </c>
      <c r="H160" s="3">
        <v>4.2</v>
      </c>
      <c r="I160" s="3">
        <v>677096.71</v>
      </c>
      <c r="J160">
        <v>0</v>
      </c>
      <c r="K160">
        <v>1</v>
      </c>
      <c r="L160">
        <v>0</v>
      </c>
      <c r="M160">
        <v>0</v>
      </c>
      <c r="N160">
        <f>80932.3403+(A160*1.00478527)+(B160*31.2531946)+(C160*-114994.58)+(D160*908.742526)+(E160*2836.50299)+(F160*-3518.8948)+(G160*22177.7478)+(H160*23748.7981)</f>
        <v>672445.84242199094</v>
      </c>
      <c r="O160">
        <f>I160-N160</f>
        <v>4650.8675780090271</v>
      </c>
      <c r="P160">
        <f>O160^2</f>
        <v>21630569.228175554</v>
      </c>
    </row>
    <row r="161" spans="1:16">
      <c r="A161" s="3">
        <v>47648.71</v>
      </c>
      <c r="B161" s="3">
        <v>5767</v>
      </c>
      <c r="C161" s="3">
        <v>0.14099999999999999</v>
      </c>
      <c r="D161" s="3">
        <v>17</v>
      </c>
      <c r="E161" s="3">
        <v>89.8</v>
      </c>
      <c r="F161" s="3">
        <v>1.76</v>
      </c>
      <c r="G161" s="3">
        <v>0</v>
      </c>
      <c r="H161" s="3">
        <v>3.1</v>
      </c>
      <c r="I161" s="3">
        <v>635837.74</v>
      </c>
      <c r="J161">
        <v>0</v>
      </c>
      <c r="K161">
        <v>0</v>
      </c>
      <c r="L161">
        <v>0</v>
      </c>
      <c r="M161">
        <v>0</v>
      </c>
      <c r="N161">
        <f>80932.3403+(A161*1.00478527)+(B161*31.2531946)+(C161*-114994.58)+(D161*908.742526)+(E161*2836.50299)+(F161*-3518.8948)+(G161*22177.7478)+(H161*23748.7981)</f>
        <v>630426.61042670161</v>
      </c>
      <c r="O161">
        <f>I161-N161</f>
        <v>5411.1295732983854</v>
      </c>
      <c r="P161">
        <f>O161^2</f>
        <v>29280323.259024367</v>
      </c>
    </row>
    <row r="162" spans="1:16">
      <c r="A162" s="3">
        <v>38361.93</v>
      </c>
      <c r="B162" s="3">
        <v>6322</v>
      </c>
      <c r="C162" s="3">
        <v>0.27300000000000002</v>
      </c>
      <c r="D162" s="3">
        <v>15</v>
      </c>
      <c r="E162" s="3">
        <v>88.4</v>
      </c>
      <c r="F162" s="3">
        <v>0.83</v>
      </c>
      <c r="G162" s="3">
        <v>0</v>
      </c>
      <c r="H162" s="3">
        <v>4</v>
      </c>
      <c r="I162" s="3">
        <v>647953.78</v>
      </c>
      <c r="J162">
        <v>1</v>
      </c>
      <c r="K162">
        <v>0</v>
      </c>
      <c r="L162">
        <v>0</v>
      </c>
      <c r="M162">
        <v>0</v>
      </c>
      <c r="N162">
        <f>80932.3403+(A162*1.00478527)+(B162*31.2531946)+(C162*-114994.58)+(D162*908.742526)+(E162*2836.50299)+(F162*-3518.8948)+(G162*22177.7478)+(H162*23748.7981)</f>
        <v>642119.53033597115</v>
      </c>
      <c r="O162">
        <f>I162-N162</f>
        <v>5834.2496640288737</v>
      </c>
      <c r="P162">
        <f>O162^2</f>
        <v>34038469.142221026</v>
      </c>
    </row>
    <row r="163" spans="1:16">
      <c r="A163" s="3">
        <v>68133.440000000002</v>
      </c>
      <c r="B163" s="3">
        <v>9459</v>
      </c>
      <c r="C163" s="3">
        <v>0.22</v>
      </c>
      <c r="D163" s="3">
        <v>21</v>
      </c>
      <c r="E163" s="3">
        <v>85</v>
      </c>
      <c r="F163" s="3">
        <v>1.91</v>
      </c>
      <c r="G163" s="3">
        <v>0</v>
      </c>
      <c r="H163" s="3">
        <v>4.2</v>
      </c>
      <c r="I163" s="3">
        <v>779010.94</v>
      </c>
      <c r="J163">
        <v>1</v>
      </c>
      <c r="K163">
        <v>0</v>
      </c>
      <c r="L163">
        <v>0</v>
      </c>
      <c r="M163">
        <v>0</v>
      </c>
      <c r="N163">
        <f>80932.3403+(A163*1.00478527)+(B163*31.2531946)+(C163*-114994.58)+(D163*908.742526)+(E163*2836.50299)+(F163*-3518.8948)+(G163*22177.7478)+(H163*23748.7981)</f>
        <v>772927.1874758288</v>
      </c>
      <c r="O163">
        <f>I163-N163</f>
        <v>6083.752524171141</v>
      </c>
      <c r="P163">
        <f>O163^2</f>
        <v>37012044.775358729</v>
      </c>
    </row>
    <row r="164" spans="1:16">
      <c r="A164" s="3">
        <v>64374.75</v>
      </c>
      <c r="B164" s="3">
        <v>6740</v>
      </c>
      <c r="C164" s="3">
        <v>0.16900000000000001</v>
      </c>
      <c r="D164" s="3">
        <v>18</v>
      </c>
      <c r="E164" s="3">
        <v>87</v>
      </c>
      <c r="F164" s="3">
        <v>2.09</v>
      </c>
      <c r="G164" s="3">
        <v>0</v>
      </c>
      <c r="H164" s="3">
        <v>4.2</v>
      </c>
      <c r="I164" s="3">
        <v>698492.67</v>
      </c>
      <c r="J164">
        <v>0</v>
      </c>
      <c r="K164">
        <v>0</v>
      </c>
      <c r="L164">
        <v>0</v>
      </c>
      <c r="M164">
        <v>0</v>
      </c>
      <c r="N164">
        <f>80932.3403+(A164*1.00478527)+(B164*31.2531946)+(C164*-114994.58)+(D164*908.742526)+(E164*2836.50299)+(F164*-3518.8948)+(G164*22177.7478)+(H164*23748.7981)</f>
        <v>692351.17592993251</v>
      </c>
      <c r="O164">
        <f>I164-N164</f>
        <v>6141.4940700675361</v>
      </c>
      <c r="P164">
        <f>O164^2</f>
        <v>37717949.41267471</v>
      </c>
    </row>
    <row r="165" spans="1:16">
      <c r="A165" s="3">
        <v>68040.149999999994</v>
      </c>
      <c r="B165" s="3">
        <v>9826</v>
      </c>
      <c r="C165" s="3">
        <v>0.125</v>
      </c>
      <c r="D165" s="3">
        <v>20</v>
      </c>
      <c r="E165" s="3">
        <v>83.9</v>
      </c>
      <c r="F165" s="3">
        <v>9.1199999999999992</v>
      </c>
      <c r="G165" s="3">
        <v>0</v>
      </c>
      <c r="H165" s="3">
        <v>3.6</v>
      </c>
      <c r="I165" s="3">
        <v>758138.29</v>
      </c>
      <c r="J165">
        <v>0</v>
      </c>
      <c r="K165">
        <v>0</v>
      </c>
      <c r="L165">
        <v>0</v>
      </c>
      <c r="M165">
        <v>0</v>
      </c>
      <c r="N165">
        <f>80932.3403+(A165*1.00478527)+(B165*31.2531946)+(C165*-114994.58)+(D165*908.742526)+(E165*2836.50299)+(F165*-3518.8948)+(G165*22177.7478)+(H165*23748.7981)</f>
        <v>751578.45239319047</v>
      </c>
      <c r="O165">
        <f>I165-N165</f>
        <v>6559.8376068095677</v>
      </c>
      <c r="P165">
        <f>O165^2</f>
        <v>43031469.427713074</v>
      </c>
    </row>
    <row r="166" spans="1:16">
      <c r="A166" s="3">
        <v>43288.2</v>
      </c>
      <c r="B166" s="3">
        <v>4783</v>
      </c>
      <c r="C166" s="3">
        <v>0.16900000000000001</v>
      </c>
      <c r="D166" s="3">
        <v>13</v>
      </c>
      <c r="E166" s="3">
        <v>87.3</v>
      </c>
      <c r="F166" s="3">
        <v>4.5599999999999996</v>
      </c>
      <c r="G166" s="3">
        <v>0</v>
      </c>
      <c r="H166" s="3">
        <v>4.2</v>
      </c>
      <c r="I166" s="3">
        <v>605751.32999999996</v>
      </c>
      <c r="J166">
        <v>0</v>
      </c>
      <c r="K166">
        <v>0</v>
      </c>
      <c r="L166">
        <v>0</v>
      </c>
      <c r="M166">
        <v>0</v>
      </c>
      <c r="N166">
        <f>80932.3403+(A166*1.00478527)+(B166*31.2531946)+(C166*-114994.58)+(D166*908.742526)+(E166*2836.50299)+(F166*-3518.8948)+(G166*22177.7478)+(H166*23748.7981)</f>
        <v>597616.78737361392</v>
      </c>
      <c r="O166">
        <f>I166-N166</f>
        <v>8134.5426263860427</v>
      </c>
      <c r="P166">
        <f>O166^2</f>
        <v>66170783.740491539</v>
      </c>
    </row>
    <row r="167" spans="1:16">
      <c r="A167" s="3">
        <v>63986.98</v>
      </c>
      <c r="B167" s="3">
        <v>7989</v>
      </c>
      <c r="C167" s="3">
        <v>7.3999999999999996E-2</v>
      </c>
      <c r="D167" s="3">
        <v>20</v>
      </c>
      <c r="E167" s="3">
        <v>83.3</v>
      </c>
      <c r="F167" s="3">
        <v>3.6</v>
      </c>
      <c r="G167" s="3">
        <v>0</v>
      </c>
      <c r="H167" s="3">
        <v>3.7</v>
      </c>
      <c r="I167" s="3">
        <v>724346.73</v>
      </c>
      <c r="J167">
        <v>1</v>
      </c>
      <c r="K167">
        <v>0</v>
      </c>
      <c r="L167">
        <v>1</v>
      </c>
      <c r="M167">
        <v>0</v>
      </c>
      <c r="N167">
        <f>80932.3403+(A167*1.00478527)+(B167*31.2531946)+(C167*-114994.58)+(D167*908.742526)+(E167*2836.50299)+(F167*-3518.8948)+(G167*22177.7478)+(H167*23748.7981)</f>
        <v>716055.7692921845</v>
      </c>
      <c r="O167">
        <f>I167-N167</f>
        <v>8290.9607078154804</v>
      </c>
      <c r="P167">
        <f>O167^2</f>
        <v>68740029.458540171</v>
      </c>
    </row>
    <row r="168" spans="1:16">
      <c r="A168" s="3">
        <v>77999.899999999994</v>
      </c>
      <c r="B168" s="3">
        <v>5974</v>
      </c>
      <c r="C168" s="3">
        <v>0.252</v>
      </c>
      <c r="D168" s="3">
        <v>14</v>
      </c>
      <c r="E168" s="3">
        <v>81.3</v>
      </c>
      <c r="F168" s="3">
        <v>2.39</v>
      </c>
      <c r="G168" s="3">
        <v>0</v>
      </c>
      <c r="H168" s="3">
        <v>3.2</v>
      </c>
      <c r="I168" s="3">
        <v>636561.34</v>
      </c>
      <c r="J168">
        <v>0</v>
      </c>
      <c r="K168">
        <v>1</v>
      </c>
      <c r="L168">
        <v>0</v>
      </c>
      <c r="M168">
        <v>0</v>
      </c>
      <c r="N168">
        <f>80932.3403+(A168*1.00478527)+(B168*31.2531946)+(C168*-114994.58)+(D168*908.742526)+(E168*2836.50299)+(F168*-3518.8948)+(G168*22177.7478)+(H168*23748.7981)</f>
        <v>627949.52506087301</v>
      </c>
      <c r="O168">
        <f>I168-N168</f>
        <v>8611.8149391269544</v>
      </c>
      <c r="P168">
        <f>O168^2</f>
        <v>74163356.545770183</v>
      </c>
    </row>
    <row r="169" spans="1:16">
      <c r="A169" s="3">
        <v>54968.98</v>
      </c>
      <c r="B169" s="3">
        <v>7816</v>
      </c>
      <c r="C169" s="3">
        <v>0.23200000000000001</v>
      </c>
      <c r="D169" s="3">
        <v>19</v>
      </c>
      <c r="E169" s="3">
        <v>95.7</v>
      </c>
      <c r="F169" s="3">
        <v>7.85</v>
      </c>
      <c r="G169" s="3">
        <v>0</v>
      </c>
      <c r="H169" s="3">
        <v>4.7</v>
      </c>
      <c r="I169" s="3">
        <v>735480.19</v>
      </c>
      <c r="J169">
        <v>0</v>
      </c>
      <c r="K169">
        <v>0</v>
      </c>
      <c r="L169">
        <v>0</v>
      </c>
      <c r="M169">
        <v>0</v>
      </c>
      <c r="N169">
        <f>80932.3403+(A169*1.00478527)+(B169*31.2531946)+(C169*-114994.58)+(D169*908.742526)+(E169*2836.50299)+(F169*-3518.8948)+(G169*22177.7478)+(H169*23748.7981)</f>
        <v>726476.0591715246</v>
      </c>
      <c r="O169">
        <f>I169-N169</f>
        <v>9004.1308284753468</v>
      </c>
      <c r="P169">
        <f>O169^2</f>
        <v>81074371.976300135</v>
      </c>
    </row>
    <row r="170" spans="1:16">
      <c r="A170" s="3">
        <v>60322.400000000001</v>
      </c>
      <c r="B170" s="3">
        <v>3350</v>
      </c>
      <c r="C170" s="3">
        <v>0.108</v>
      </c>
      <c r="D170" s="3">
        <v>12</v>
      </c>
      <c r="E170" s="3">
        <v>89.4</v>
      </c>
      <c r="F170" s="3">
        <v>4.92</v>
      </c>
      <c r="G170" s="3">
        <v>0</v>
      </c>
      <c r="H170" s="3">
        <v>3.4</v>
      </c>
      <c r="I170" s="3">
        <v>570964.84</v>
      </c>
      <c r="J170">
        <v>1</v>
      </c>
      <c r="K170">
        <v>0</v>
      </c>
      <c r="L170">
        <v>0</v>
      </c>
      <c r="M170">
        <v>0</v>
      </c>
      <c r="N170">
        <f>80932.3403+(A170*1.00478527)+(B170*31.2531946)+(C170*-114994.58)+(D170*908.742526)+(E170*2836.50299)+(F170*-3518.8948)+(G170*22177.7478)+(H170*23748.7981)</f>
        <v>561743.41528304794</v>
      </c>
      <c r="O170">
        <f>I170-N170</f>
        <v>9221.424716952024</v>
      </c>
      <c r="P170">
        <f>O170^2</f>
        <v>85034673.810413718</v>
      </c>
    </row>
    <row r="171" spans="1:16">
      <c r="A171" s="3">
        <v>41863.08</v>
      </c>
      <c r="B171" s="3">
        <v>5400</v>
      </c>
      <c r="C171" s="3">
        <v>0.114</v>
      </c>
      <c r="D171" s="3">
        <v>11</v>
      </c>
      <c r="E171" s="3">
        <v>91.6</v>
      </c>
      <c r="F171" s="3">
        <v>7.99</v>
      </c>
      <c r="G171" s="3">
        <v>0</v>
      </c>
      <c r="H171" s="3">
        <v>3</v>
      </c>
      <c r="I171" s="3">
        <v>602002.31999999995</v>
      </c>
      <c r="J171">
        <v>1</v>
      </c>
      <c r="K171">
        <v>0</v>
      </c>
      <c r="L171">
        <v>1</v>
      </c>
      <c r="M171">
        <v>0</v>
      </c>
      <c r="N171">
        <f>80932.3403+(A171*1.00478527)+(B171*31.2531946)+(C171*-114994.58)+(D171*908.742526)+(E171*2836.50299)+(F171*-3518.8948)+(G171*22177.7478)+(H171*23748.7981)</f>
        <v>591603.88167883153</v>
      </c>
      <c r="O171">
        <f>I171-N171</f>
        <v>10398.438321168418</v>
      </c>
      <c r="P171">
        <f>O171^2</f>
        <v>108127519.51914386</v>
      </c>
    </row>
    <row r="172" spans="1:16">
      <c r="A172" s="3">
        <v>44189.34</v>
      </c>
      <c r="B172" s="3">
        <v>8634</v>
      </c>
      <c r="C172" s="3">
        <v>0.14299999999999999</v>
      </c>
      <c r="D172" s="3">
        <v>19</v>
      </c>
      <c r="E172" s="3">
        <v>87.5</v>
      </c>
      <c r="F172" s="3">
        <v>3.69</v>
      </c>
      <c r="G172" s="3">
        <v>0</v>
      </c>
      <c r="H172" s="3">
        <v>4.4000000000000004</v>
      </c>
      <c r="I172" s="3">
        <v>746115.59</v>
      </c>
      <c r="J172">
        <v>0</v>
      </c>
      <c r="K172">
        <v>1</v>
      </c>
      <c r="L172">
        <v>1</v>
      </c>
      <c r="M172">
        <v>0</v>
      </c>
      <c r="N172">
        <f>80932.3403+(A172*1.00478527)+(B172*31.2531946)+(C172*-114994.58)+(D172*908.742526)+(E172*2836.50299)+(F172*-3518.8948)+(G172*22177.7478)+(H172*23748.7981)</f>
        <v>735699.10490642174</v>
      </c>
      <c r="O172">
        <f>I172-N172</f>
        <v>10416.485093578231</v>
      </c>
      <c r="P172">
        <f>O172^2</f>
        <v>108503161.70473748</v>
      </c>
    </row>
    <row r="173" spans="1:16">
      <c r="A173" s="3">
        <v>48609.41</v>
      </c>
      <c r="B173" s="3">
        <v>9324</v>
      </c>
      <c r="C173" s="3">
        <v>0.21299999999999999</v>
      </c>
      <c r="D173" s="3">
        <v>18</v>
      </c>
      <c r="E173" s="3">
        <v>86.5</v>
      </c>
      <c r="F173" s="3">
        <v>1.44</v>
      </c>
      <c r="G173" s="3">
        <v>0</v>
      </c>
      <c r="H173" s="3">
        <v>3.9</v>
      </c>
      <c r="I173" s="3">
        <v>756619.77</v>
      </c>
      <c r="J173">
        <v>0</v>
      </c>
      <c r="K173">
        <v>1</v>
      </c>
      <c r="L173">
        <v>0</v>
      </c>
      <c r="M173">
        <v>0</v>
      </c>
      <c r="N173">
        <f>80932.3403+(A173*1.00478527)+(B173*31.2531946)+(C173*-114994.58)+(D173*908.742526)+(E173*2836.50299)+(F173*-3518.8948)+(G173*22177.7478)+(H173*23748.7981)</f>
        <v>745953.27854279068</v>
      </c>
      <c r="O173">
        <f>I173-N173</f>
        <v>10666.49145720934</v>
      </c>
      <c r="P173">
        <f>O173^2</f>
        <v>113774040.00671984</v>
      </c>
    </row>
    <row r="174" spans="1:16">
      <c r="A174" s="3">
        <v>46201.46</v>
      </c>
      <c r="B174" s="3">
        <v>5918</v>
      </c>
      <c r="C174" s="3">
        <v>0.27700000000000002</v>
      </c>
      <c r="D174" s="3">
        <v>13</v>
      </c>
      <c r="E174" s="3">
        <v>78.8</v>
      </c>
      <c r="F174" s="3">
        <v>4.91</v>
      </c>
      <c r="G174" s="3">
        <v>0</v>
      </c>
      <c r="H174" s="3">
        <v>4.5</v>
      </c>
      <c r="I174" s="3">
        <v>616069.41</v>
      </c>
      <c r="J174">
        <v>0</v>
      </c>
      <c r="K174">
        <v>0</v>
      </c>
      <c r="L174">
        <v>0</v>
      </c>
      <c r="M174">
        <v>0</v>
      </c>
      <c r="N174">
        <f>80932.3403+(A174*1.00478527)+(B174*31.2531946)+(C174*-114994.58)+(D174*908.742526)+(E174*2836.50299)+(F174*-3518.8948)+(G174*22177.7478)+(H174*23748.7981)</f>
        <v>605379.70017529419</v>
      </c>
      <c r="O174">
        <f>I174-N174</f>
        <v>10689.709824705846</v>
      </c>
      <c r="P174">
        <f>O174^2</f>
        <v>114269896.13641268</v>
      </c>
    </row>
    <row r="175" spans="1:16">
      <c r="A175" s="3">
        <v>90084.4</v>
      </c>
      <c r="B175" s="3">
        <v>6832</v>
      </c>
      <c r="C175" s="3">
        <v>0.185</v>
      </c>
      <c r="D175" s="3">
        <v>14</v>
      </c>
      <c r="E175" s="3">
        <v>80.5</v>
      </c>
      <c r="F175" s="3">
        <v>0.77</v>
      </c>
      <c r="G175" s="3">
        <v>1</v>
      </c>
      <c r="H175" s="3">
        <v>4.4000000000000004</v>
      </c>
      <c r="I175" s="3">
        <v>740102.64</v>
      </c>
      <c r="J175">
        <v>0</v>
      </c>
      <c r="K175">
        <v>0</v>
      </c>
      <c r="L175">
        <v>1</v>
      </c>
      <c r="M175">
        <v>0</v>
      </c>
      <c r="N175">
        <f>80932.3403+(A175*1.00478527)+(B175*31.2531946)+(C175*-114994.58)+(D175*908.742526)+(E175*2836.50299)+(F175*-3518.8948)+(G175*22177.7478)+(H175*23748.7981)</f>
        <v>728719.44318698801</v>
      </c>
      <c r="O175">
        <f>I175-N175</f>
        <v>11383.196813012008</v>
      </c>
      <c r="P175">
        <f>O175^2</f>
        <v>129577169.68376672</v>
      </c>
    </row>
    <row r="176" spans="1:16">
      <c r="A176" s="3">
        <v>14519.37</v>
      </c>
      <c r="B176" s="3">
        <v>3047</v>
      </c>
      <c r="C176" s="3">
        <v>0.13500000000000001</v>
      </c>
      <c r="D176" s="3">
        <v>10</v>
      </c>
      <c r="E176" s="3">
        <v>90.3</v>
      </c>
      <c r="F176" s="3">
        <v>6.62</v>
      </c>
      <c r="G176" s="3">
        <v>0</v>
      </c>
      <c r="H176" s="3">
        <v>4.2</v>
      </c>
      <c r="I176" s="3">
        <v>528852.62</v>
      </c>
      <c r="J176">
        <v>0</v>
      </c>
      <c r="K176">
        <v>0</v>
      </c>
      <c r="L176">
        <v>0</v>
      </c>
      <c r="M176">
        <v>0</v>
      </c>
      <c r="N176">
        <f>80932.3403+(A176*1.00478527)+(B176*31.2531946)+(C176*-114994.58)+(D176*908.742526)+(E176*2836.50299)+(F176*-3518.8948)+(G176*22177.7478)+(H176*23748.7981)</f>
        <v>516898.91875287984</v>
      </c>
      <c r="O176">
        <f>I176-N176</f>
        <v>11953.70124712016</v>
      </c>
      <c r="P176">
        <f>O176^2</f>
        <v>142890973.50540206</v>
      </c>
    </row>
    <row r="177" spans="1:16">
      <c r="A177" s="3">
        <v>31207.51</v>
      </c>
      <c r="B177" s="3">
        <v>3701</v>
      </c>
      <c r="C177" s="3">
        <v>4.2999999999999997E-2</v>
      </c>
      <c r="D177" s="3">
        <v>11</v>
      </c>
      <c r="E177" s="3">
        <v>84.7</v>
      </c>
      <c r="F177" s="3">
        <v>0.33</v>
      </c>
      <c r="G177" s="3">
        <v>0</v>
      </c>
      <c r="H177" s="3">
        <v>4.3</v>
      </c>
      <c r="I177" s="3">
        <v>586307.22</v>
      </c>
      <c r="J177">
        <v>0</v>
      </c>
      <c r="K177">
        <v>1</v>
      </c>
      <c r="L177">
        <v>1</v>
      </c>
      <c r="M177">
        <v>0</v>
      </c>
      <c r="N177">
        <f>80932.3403+(A177*1.00478527)+(B177*31.2531946)+(C177*-114994.58)+(D177*908.742526)+(E177*2836.50299)+(F177*-3518.8948)+(G177*22177.7478)+(H177*23748.7981)</f>
        <v>574219.06052097771</v>
      </c>
      <c r="O177">
        <f>I177-N177</f>
        <v>12088.159479022259</v>
      </c>
      <c r="P177">
        <f>O177^2</f>
        <v>146123599.59027568</v>
      </c>
    </row>
    <row r="178" spans="1:16">
      <c r="A178" s="3">
        <v>45706.49</v>
      </c>
      <c r="B178" s="3">
        <v>6704</v>
      </c>
      <c r="C178" s="3">
        <v>3.7999999999999999E-2</v>
      </c>
      <c r="D178" s="3">
        <v>15</v>
      </c>
      <c r="E178" s="3">
        <v>94.2</v>
      </c>
      <c r="F178" s="3">
        <v>2.92</v>
      </c>
      <c r="G178" s="3">
        <v>0</v>
      </c>
      <c r="H178" s="3">
        <v>4.2</v>
      </c>
      <c r="I178" s="3">
        <v>715097.57</v>
      </c>
      <c r="J178">
        <v>0</v>
      </c>
      <c r="K178">
        <v>0</v>
      </c>
      <c r="L178">
        <v>0</v>
      </c>
      <c r="M178">
        <v>0</v>
      </c>
      <c r="N178">
        <f>80932.3403+(A178*1.00478527)+(B178*31.2531946)+(C178*-114994.58)+(D178*908.742526)+(E178*2836.50299)+(F178*-3518.8948)+(G178*22177.7478)+(H178*23748.7981)</f>
        <v>702308.66950580233</v>
      </c>
      <c r="O178">
        <f>I178-N178</f>
        <v>12788.900494197616</v>
      </c>
      <c r="P178">
        <f>O178^2</f>
        <v>163555975.85048804</v>
      </c>
    </row>
    <row r="179" spans="1:16">
      <c r="A179" s="3">
        <v>53351.7</v>
      </c>
      <c r="B179" s="3">
        <v>4259</v>
      </c>
      <c r="C179" s="3">
        <v>0.156</v>
      </c>
      <c r="D179" s="3">
        <v>15</v>
      </c>
      <c r="E179" s="3">
        <v>93.7</v>
      </c>
      <c r="F179" s="3">
        <v>6.03</v>
      </c>
      <c r="G179" s="3">
        <v>0</v>
      </c>
      <c r="H179" s="3">
        <v>3.4</v>
      </c>
      <c r="I179" s="3">
        <v>601568.87</v>
      </c>
      <c r="J179">
        <v>1</v>
      </c>
      <c r="K179">
        <v>0</v>
      </c>
      <c r="L179">
        <v>0</v>
      </c>
      <c r="M179">
        <v>0</v>
      </c>
      <c r="N179">
        <f>80932.3403+(A179*1.00478527)+(B179*31.2531946)+(C179*-114994.58)+(D179*908.742526)+(E179*2836.50299)+(F179*-3518.8948)+(G179*22177.7478)+(H179*23748.7981)</f>
        <v>588645.98985985899</v>
      </c>
      <c r="O179">
        <f>I179-N179</f>
        <v>12922.880140141002</v>
      </c>
      <c r="P179">
        <f>O179^2</f>
        <v>167000831.11645073</v>
      </c>
    </row>
    <row r="180" spans="1:16">
      <c r="A180" s="3">
        <v>28670.43</v>
      </c>
      <c r="B180" s="3">
        <v>7574</v>
      </c>
      <c r="C180" s="3">
        <v>0.114</v>
      </c>
      <c r="D180" s="3">
        <v>19</v>
      </c>
      <c r="E180" s="3">
        <v>82.7</v>
      </c>
      <c r="F180" s="3">
        <v>2.74</v>
      </c>
      <c r="G180" s="3">
        <v>0</v>
      </c>
      <c r="H180" s="3">
        <v>4.5999999999999996</v>
      </c>
      <c r="I180" s="3">
        <v>697888.09</v>
      </c>
      <c r="J180">
        <v>0</v>
      </c>
      <c r="K180">
        <v>1</v>
      </c>
      <c r="L180">
        <v>1</v>
      </c>
      <c r="M180">
        <v>0</v>
      </c>
      <c r="N180">
        <f>80932.3403+(A180*1.00478527)+(B180*31.2531946)+(C180*-114994.58)+(D180*908.742526)+(E180*2836.50299)+(F180*-3518.8948)+(G180*22177.7478)+(H180*23748.7981)</f>
        <v>684789.88460396614</v>
      </c>
      <c r="O180">
        <f>I180-N180</f>
        <v>13098.205396033823</v>
      </c>
      <c r="P180">
        <f>O180^2</f>
        <v>171562984.59668958</v>
      </c>
    </row>
    <row r="181" spans="1:16">
      <c r="A181" s="3">
        <v>50343.19</v>
      </c>
      <c r="B181" s="3">
        <v>3845</v>
      </c>
      <c r="C181" s="3">
        <v>0.113</v>
      </c>
      <c r="D181" s="3">
        <v>9</v>
      </c>
      <c r="E181" s="3">
        <v>88.7</v>
      </c>
      <c r="F181" s="3">
        <v>5.15</v>
      </c>
      <c r="G181" s="3">
        <v>0</v>
      </c>
      <c r="H181" s="3">
        <v>3.3</v>
      </c>
      <c r="I181" s="3">
        <v>572011.19999999995</v>
      </c>
      <c r="J181">
        <v>0</v>
      </c>
      <c r="K181">
        <v>1</v>
      </c>
      <c r="L181">
        <v>0</v>
      </c>
      <c r="M181">
        <v>0</v>
      </c>
      <c r="N181">
        <f>80932.3403+(A181*1.00478527)+(B181*31.2531946)+(C181*-114994.58)+(D181*908.742526)+(E181*2836.50299)+(F181*-3518.8948)+(G181*22177.7478)+(H181*23748.7981)</f>
        <v>558715.80521081132</v>
      </c>
      <c r="O181">
        <f>I181-N181</f>
        <v>13295.394789188635</v>
      </c>
      <c r="P181">
        <f>O181^2</f>
        <v>176767522.60038429</v>
      </c>
    </row>
    <row r="182" spans="1:16">
      <c r="A182" s="3">
        <v>16451.849999999999</v>
      </c>
      <c r="B182" s="3">
        <v>4678</v>
      </c>
      <c r="C182" s="3">
        <v>0.13300000000000001</v>
      </c>
      <c r="D182" s="3">
        <v>11</v>
      </c>
      <c r="E182" s="3">
        <v>95.9</v>
      </c>
      <c r="F182" s="3">
        <v>3.1</v>
      </c>
      <c r="G182" s="3">
        <v>0</v>
      </c>
      <c r="H182" s="3">
        <v>3.9</v>
      </c>
      <c r="I182" s="3">
        <v>606278.30000000005</v>
      </c>
      <c r="J182">
        <v>1</v>
      </c>
      <c r="K182">
        <v>0</v>
      </c>
      <c r="L182">
        <v>0</v>
      </c>
      <c r="M182">
        <v>0</v>
      </c>
      <c r="N182">
        <f>80932.3403+(A182*1.00478527)+(B182*31.2531946)+(C182*-114994.58)+(D182*908.742526)+(E182*2836.50299)+(F182*-3518.8948)+(G182*22177.7478)+(H182*23748.7981)</f>
        <v>592099.62528004951</v>
      </c>
      <c r="O182">
        <f>I182-N182</f>
        <v>14178.674719950533</v>
      </c>
      <c r="P182">
        <f>O182^2</f>
        <v>201034816.81416434</v>
      </c>
    </row>
    <row r="183" spans="1:16">
      <c r="A183" s="3">
        <v>63176.73</v>
      </c>
      <c r="B183" s="3">
        <v>2390</v>
      </c>
      <c r="C183" s="3">
        <v>0.216</v>
      </c>
      <c r="D183" s="3">
        <v>9</v>
      </c>
      <c r="E183" s="3">
        <v>87.5</v>
      </c>
      <c r="F183" s="3">
        <v>0.31</v>
      </c>
      <c r="G183" s="3">
        <v>0</v>
      </c>
      <c r="H183" s="3">
        <v>3.1</v>
      </c>
      <c r="I183" s="3">
        <v>537383.79</v>
      </c>
      <c r="J183">
        <v>0</v>
      </c>
      <c r="K183">
        <v>0</v>
      </c>
      <c r="L183">
        <v>0</v>
      </c>
      <c r="M183">
        <v>0</v>
      </c>
      <c r="N183">
        <f>80932.3403+(A183*1.00478527)+(B183*31.2531946)+(C183*-114994.58)+(D183*908.742526)+(E183*2836.50299)+(F183*-3518.8948)+(G183*22177.7478)+(H183*23748.7981)</f>
        <v>523170.80490576709</v>
      </c>
      <c r="O183">
        <f>I183-N183</f>
        <v>14212.98509423295</v>
      </c>
      <c r="P183">
        <f>O183^2</f>
        <v>202008945.28888804</v>
      </c>
    </row>
    <row r="184" spans="1:16">
      <c r="A184" s="3">
        <v>59825.51</v>
      </c>
      <c r="B184" s="3">
        <v>1231</v>
      </c>
      <c r="C184" s="3">
        <v>0.214</v>
      </c>
      <c r="D184" s="3">
        <v>10</v>
      </c>
      <c r="E184" s="3">
        <v>84.8</v>
      </c>
      <c r="F184" s="3">
        <v>8.9600000000000009</v>
      </c>
      <c r="G184" s="3">
        <v>0</v>
      </c>
      <c r="H184" s="3">
        <v>4.7</v>
      </c>
      <c r="I184" s="3">
        <v>498970.32</v>
      </c>
      <c r="J184">
        <v>0</v>
      </c>
      <c r="K184">
        <v>0</v>
      </c>
      <c r="L184">
        <v>0</v>
      </c>
      <c r="M184">
        <v>0</v>
      </c>
      <c r="N184">
        <f>80932.3403+(A184*1.00478527)+(B184*31.2531946)+(C184*-114994.58)+(D184*908.742526)+(E184*2836.50299)+(F184*-3518.8948)+(G184*22177.7478)+(H184*23748.7981)</f>
        <v>484620.90642483765</v>
      </c>
      <c r="O184">
        <f>I184-N184</f>
        <v>14349.413575162354</v>
      </c>
      <c r="P184">
        <f>O184^2</f>
        <v>205905669.95105365</v>
      </c>
    </row>
    <row r="185" spans="1:16">
      <c r="A185" s="3">
        <v>78967.520000000004</v>
      </c>
      <c r="B185" s="3">
        <v>6164</v>
      </c>
      <c r="C185" s="3">
        <v>2.1000000000000001E-2</v>
      </c>
      <c r="D185" s="3">
        <v>16</v>
      </c>
      <c r="E185" s="3">
        <v>85.5</v>
      </c>
      <c r="F185" s="3">
        <v>0.2</v>
      </c>
      <c r="G185" s="3">
        <v>0</v>
      </c>
      <c r="H185" s="3">
        <v>3.4</v>
      </c>
      <c r="I185" s="3">
        <v>702052.47</v>
      </c>
      <c r="J185">
        <v>1</v>
      </c>
      <c r="K185">
        <v>0</v>
      </c>
      <c r="L185">
        <v>0</v>
      </c>
      <c r="M185">
        <v>0</v>
      </c>
      <c r="N185">
        <f>80932.3403+(A185*1.00478527)+(B185*31.2531946)+(C185*-114994.58)+(D185*908.742526)+(E185*2836.50299)+(F185*-3518.8948)+(G185*22177.7478)+(H185*23748.7981)</f>
        <v>687610.5671798304</v>
      </c>
      <c r="O185">
        <f>I185-N185</f>
        <v>14441.902820169576</v>
      </c>
      <c r="P185">
        <f>O185^2</f>
        <v>208568557.06722197</v>
      </c>
    </row>
    <row r="186" spans="1:16">
      <c r="A186" s="3">
        <v>55388.11</v>
      </c>
      <c r="B186" s="3">
        <v>3091</v>
      </c>
      <c r="C186" s="3">
        <v>0.108</v>
      </c>
      <c r="D186" s="3">
        <v>7</v>
      </c>
      <c r="E186" s="3">
        <v>85.4</v>
      </c>
      <c r="F186" s="3">
        <v>7.34</v>
      </c>
      <c r="G186" s="3">
        <v>0</v>
      </c>
      <c r="H186" s="3">
        <v>4.9000000000000004</v>
      </c>
      <c r="I186" s="3">
        <v>574436.29</v>
      </c>
      <c r="J186">
        <v>0</v>
      </c>
      <c r="K186">
        <v>0</v>
      </c>
      <c r="L186">
        <v>0</v>
      </c>
      <c r="M186">
        <v>0</v>
      </c>
      <c r="N186">
        <f>80932.3403+(A186*1.00478527)+(B186*31.2531946)+(C186*-114994.58)+(D186*908.742526)+(E186*2836.50299)+(F186*-3518.8948)+(G186*22177.7478)+(H186*23748.7981)</f>
        <v>559908.68311573961</v>
      </c>
      <c r="O186">
        <f>I186-N186</f>
        <v>14527.606884260429</v>
      </c>
      <c r="P186">
        <f>O186^2</f>
        <v>211051361.783611</v>
      </c>
    </row>
    <row r="187" spans="1:16">
      <c r="A187" s="3">
        <v>57948.88</v>
      </c>
      <c r="B187" s="3">
        <v>10741</v>
      </c>
      <c r="C187" s="3">
        <v>7.0000000000000007E-2</v>
      </c>
      <c r="D187" s="3">
        <v>25</v>
      </c>
      <c r="E187" s="3">
        <v>90.1</v>
      </c>
      <c r="F187" s="3">
        <v>4.03</v>
      </c>
      <c r="G187" s="3">
        <v>0</v>
      </c>
      <c r="H187" s="3">
        <v>3.1</v>
      </c>
      <c r="I187" s="3">
        <v>819660.59</v>
      </c>
      <c r="J187">
        <v>0</v>
      </c>
      <c r="K187">
        <v>0</v>
      </c>
      <c r="L187">
        <v>0</v>
      </c>
      <c r="M187">
        <v>0</v>
      </c>
      <c r="N187">
        <f>80932.3403+(A187*1.00478527)+(B187*31.2531946)+(C187*-114994.58)+(D187*908.742526)+(E187*2836.50299)+(F187*-3518.8948)+(G187*22177.7478)+(H187*23748.7981)</f>
        <v>804527.07455059746</v>
      </c>
      <c r="O187">
        <f>I187-N187</f>
        <v>15133.515449402505</v>
      </c>
      <c r="P187">
        <f>O187^2</f>
        <v>229023289.8573043</v>
      </c>
    </row>
    <row r="188" spans="1:16">
      <c r="A188" s="3">
        <v>66962.740000000005</v>
      </c>
      <c r="B188" s="3">
        <v>7880</v>
      </c>
      <c r="C188" s="3">
        <v>0.11600000000000001</v>
      </c>
      <c r="D188" s="3">
        <v>19</v>
      </c>
      <c r="E188" s="3">
        <v>90.4</v>
      </c>
      <c r="F188" s="3">
        <v>4.5</v>
      </c>
      <c r="G188" s="3">
        <v>0</v>
      </c>
      <c r="H188" s="3">
        <v>3.3</v>
      </c>
      <c r="I188" s="3">
        <v>732667.92</v>
      </c>
      <c r="J188">
        <v>0</v>
      </c>
      <c r="K188">
        <v>0</v>
      </c>
      <c r="L188">
        <v>0</v>
      </c>
      <c r="M188">
        <v>0</v>
      </c>
      <c r="N188">
        <f>80932.3403+(A188*1.00478527)+(B188*31.2531946)+(C188*-114994.58)+(D188*908.742526)+(E188*2836.50299)+(F188*-3518.8948)+(G188*22177.7478)+(H188*23748.7981)</f>
        <v>717373.30267883989</v>
      </c>
      <c r="O188">
        <f>I188-N188</f>
        <v>15294.617321160156</v>
      </c>
      <c r="P188">
        <f>O188^2</f>
        <v>233925319.00073227</v>
      </c>
    </row>
    <row r="189" spans="1:16">
      <c r="A189" s="3">
        <v>55270.52</v>
      </c>
      <c r="B189" s="3">
        <v>9315</v>
      </c>
      <c r="C189" s="3">
        <v>0.16900000000000001</v>
      </c>
      <c r="D189" s="3">
        <v>23</v>
      </c>
      <c r="E189" s="3">
        <v>91.9</v>
      </c>
      <c r="F189" s="3">
        <v>4.9400000000000004</v>
      </c>
      <c r="G189" s="3">
        <v>0</v>
      </c>
      <c r="H189" s="3">
        <v>4</v>
      </c>
      <c r="I189" s="3">
        <v>783672.82</v>
      </c>
      <c r="J189">
        <v>0</v>
      </c>
      <c r="K189">
        <v>0</v>
      </c>
      <c r="L189">
        <v>1</v>
      </c>
      <c r="M189">
        <v>0</v>
      </c>
      <c r="N189">
        <f>80932.3403+(A189*1.00478527)+(B189*31.2531946)+(C189*-114994.58)+(D189*908.742526)+(E189*2836.50299)+(F189*-3518.8948)+(G189*22177.7478)+(H189*23748.7981)</f>
        <v>767344.32330724038</v>
      </c>
      <c r="O189">
        <f>I189-N189</f>
        <v>16328.496692759567</v>
      </c>
      <c r="P189">
        <f>O189^2</f>
        <v>266619804.24546012</v>
      </c>
    </row>
    <row r="190" spans="1:16">
      <c r="A190" s="3">
        <v>40462.94</v>
      </c>
      <c r="B190" s="3">
        <v>3660</v>
      </c>
      <c r="C190" s="3">
        <v>0.218</v>
      </c>
      <c r="D190" s="3">
        <v>11</v>
      </c>
      <c r="E190" s="3">
        <v>95.2</v>
      </c>
      <c r="F190" s="3">
        <v>5.57</v>
      </c>
      <c r="G190" s="3">
        <v>0</v>
      </c>
      <c r="H190" s="3">
        <v>4.4000000000000004</v>
      </c>
      <c r="I190" s="3">
        <v>592195.85</v>
      </c>
      <c r="J190">
        <v>0</v>
      </c>
      <c r="K190">
        <v>0</v>
      </c>
      <c r="L190">
        <v>1</v>
      </c>
      <c r="M190">
        <v>0</v>
      </c>
      <c r="N190">
        <f>80932.3403+(A190*1.00478527)+(B190*31.2531946)+(C190*-114994.58)+(D190*908.742526)+(E190*2836.50299)+(F190*-3518.8948)+(G190*22177.7478)+(H190*23748.7981)</f>
        <v>575832.50022689381</v>
      </c>
      <c r="O190">
        <f>I190-N190</f>
        <v>16363.349773106165</v>
      </c>
      <c r="P190">
        <f>O190^2</f>
        <v>267759215.79701358</v>
      </c>
    </row>
    <row r="191" spans="1:16">
      <c r="A191" s="3">
        <v>48287.85</v>
      </c>
      <c r="B191" s="3">
        <v>5150</v>
      </c>
      <c r="C191" s="3">
        <v>8.0000000000000002E-3</v>
      </c>
      <c r="D191" s="3">
        <v>12</v>
      </c>
      <c r="E191" s="3">
        <v>80.400000000000006</v>
      </c>
      <c r="F191" s="3">
        <v>7.4</v>
      </c>
      <c r="G191" s="3">
        <v>0</v>
      </c>
      <c r="H191" s="3">
        <v>4.5</v>
      </c>
      <c r="I191" s="3">
        <v>625672.86</v>
      </c>
      <c r="J191">
        <v>1</v>
      </c>
      <c r="K191">
        <v>0</v>
      </c>
      <c r="L191">
        <v>1</v>
      </c>
      <c r="M191">
        <v>0</v>
      </c>
      <c r="N191">
        <f>80932.3403+(A191*1.00478527)+(B191*31.2531946)+(C191*-114994.58)+(D191*908.742526)+(E191*2836.50299)+(F191*-3518.8948)+(G191*22177.7478)+(H191*23748.7981)</f>
        <v>609274.77688796958</v>
      </c>
      <c r="O191">
        <f>I191-N191</f>
        <v>16398.083112030406</v>
      </c>
      <c r="P191">
        <f>O191^2</f>
        <v>268897129.74905682</v>
      </c>
    </row>
    <row r="192" spans="1:16">
      <c r="A192" s="3">
        <v>71828.259999999995</v>
      </c>
      <c r="B192" s="3">
        <v>12775</v>
      </c>
      <c r="C192" s="3">
        <v>0.11600000000000001</v>
      </c>
      <c r="D192" s="3">
        <v>30</v>
      </c>
      <c r="E192" s="3">
        <v>81.7</v>
      </c>
      <c r="F192" s="3">
        <v>4.24</v>
      </c>
      <c r="G192" s="3">
        <v>1</v>
      </c>
      <c r="H192" s="3">
        <v>4.2</v>
      </c>
      <c r="I192" s="3">
        <v>922168.6</v>
      </c>
      <c r="J192">
        <v>0</v>
      </c>
      <c r="K192">
        <v>0</v>
      </c>
      <c r="L192">
        <v>0</v>
      </c>
      <c r="M192">
        <v>0</v>
      </c>
      <c r="N192">
        <f>80932.3403+(A192*1.00478527)+(B192*31.2531946)+(C192*-114994.58)+(D192*908.742526)+(E192*2836.50299)+(F192*-3518.8948)+(G192*22177.7478)+(H192*23748.7981)</f>
        <v>905031.66358373023</v>
      </c>
      <c r="O192">
        <f>I192-N192</f>
        <v>17136.936416269746</v>
      </c>
      <c r="P192">
        <f>O192^2</f>
        <v>293674589.73527217</v>
      </c>
    </row>
    <row r="193" spans="1:16">
      <c r="A193" s="3">
        <v>49405.75</v>
      </c>
      <c r="B193" s="3">
        <v>9752</v>
      </c>
      <c r="C193" s="3">
        <v>9.2999999999999999E-2</v>
      </c>
      <c r="D193" s="3">
        <v>21</v>
      </c>
      <c r="E193" s="3">
        <v>87</v>
      </c>
      <c r="F193" s="3">
        <v>12.28</v>
      </c>
      <c r="G193" s="3">
        <v>0</v>
      </c>
      <c r="H193" s="3">
        <v>4.0999999999999996</v>
      </c>
      <c r="I193" s="3">
        <v>761963.23</v>
      </c>
      <c r="J193">
        <v>0</v>
      </c>
      <c r="K193">
        <v>0</v>
      </c>
      <c r="L193">
        <v>0</v>
      </c>
      <c r="M193">
        <v>0</v>
      </c>
      <c r="N193">
        <f>80932.3403+(A193*1.00478527)+(B193*31.2531946)+(C193*-114994.58)+(D193*908.742526)+(E193*2836.50299)+(F193*-3518.8948)+(G193*22177.7478)+(H193*23748.7981)</f>
        <v>744678.56519450259</v>
      </c>
      <c r="O193">
        <f>I193-N193</f>
        <v>17284.664805497392</v>
      </c>
      <c r="P193">
        <f>O193^2</f>
        <v>298759637.43840021</v>
      </c>
    </row>
    <row r="194" spans="1:16">
      <c r="A194" s="3">
        <v>42018.400000000001</v>
      </c>
      <c r="B194" s="3">
        <v>8296</v>
      </c>
      <c r="C194" s="3">
        <v>0.115</v>
      </c>
      <c r="D194" s="3">
        <v>17</v>
      </c>
      <c r="E194" s="3">
        <v>91.8</v>
      </c>
      <c r="F194" s="3">
        <v>0.77</v>
      </c>
      <c r="G194" s="3">
        <v>0</v>
      </c>
      <c r="H194" s="3">
        <v>3.4</v>
      </c>
      <c r="I194" s="3">
        <v>740496.65</v>
      </c>
      <c r="J194">
        <v>0</v>
      </c>
      <c r="K194">
        <v>0</v>
      </c>
      <c r="L194">
        <v>0</v>
      </c>
      <c r="M194">
        <v>0</v>
      </c>
      <c r="N194">
        <f>80932.3403+(A194*1.00478527)+(B194*31.2531946)+(C194*-114994.58)+(D194*908.742526)+(E194*2836.50299)+(F194*-3518.8948)+(G194*22177.7478)+(H194*23748.7981)</f>
        <v>723079.89735856792</v>
      </c>
      <c r="O194">
        <f>I194-N194</f>
        <v>17416.752641432104</v>
      </c>
      <c r="P194">
        <f>O194^2</f>
        <v>303343272.57283217</v>
      </c>
    </row>
    <row r="195" spans="1:16">
      <c r="A195" s="3">
        <v>25818.080000000002</v>
      </c>
      <c r="B195" s="3">
        <v>5457</v>
      </c>
      <c r="C195" s="3">
        <v>0</v>
      </c>
      <c r="D195" s="3">
        <v>11</v>
      </c>
      <c r="E195" s="3">
        <v>95.4</v>
      </c>
      <c r="F195" s="3">
        <v>4.5599999999999996</v>
      </c>
      <c r="G195" s="3">
        <v>0</v>
      </c>
      <c r="H195" s="3">
        <v>3.7</v>
      </c>
      <c r="I195" s="3">
        <v>647512.85</v>
      </c>
      <c r="J195">
        <v>0</v>
      </c>
      <c r="K195">
        <v>0</v>
      </c>
      <c r="L195">
        <v>0</v>
      </c>
      <c r="M195">
        <v>0</v>
      </c>
      <c r="N195">
        <f>80932.3403+(A195*1.00478527)+(B195*31.2531946)+(C195*-114994.58)+(D195*908.742526)+(E195*2836.50299)+(F195*-3518.8948)+(G195*22177.7478)+(H195*23748.7981)</f>
        <v>629845.59542988159</v>
      </c>
      <c r="O195">
        <f>I195-N195</f>
        <v>17667.254570118384</v>
      </c>
      <c r="P195">
        <f>O195^2</f>
        <v>312131884.04536897</v>
      </c>
    </row>
    <row r="196" spans="1:16">
      <c r="A196" s="3">
        <v>43319.94</v>
      </c>
      <c r="B196" s="3">
        <v>6551</v>
      </c>
      <c r="C196" s="3">
        <v>4.3999999999999997E-2</v>
      </c>
      <c r="D196" s="3">
        <v>13</v>
      </c>
      <c r="E196" s="3">
        <v>99</v>
      </c>
      <c r="F196" s="3">
        <v>5.45</v>
      </c>
      <c r="G196" s="3">
        <v>0</v>
      </c>
      <c r="H196" s="3">
        <v>4.0999999999999996</v>
      </c>
      <c r="I196" s="3">
        <v>712868.35</v>
      </c>
      <c r="J196">
        <v>0</v>
      </c>
      <c r="K196">
        <v>1</v>
      </c>
      <c r="L196">
        <v>1</v>
      </c>
      <c r="M196">
        <v>0</v>
      </c>
      <c r="N196">
        <f>80932.3403+(A196*1.00478527)+(B196*31.2531946)+(C196*-114994.58)+(D196*908.742526)+(E196*2836.50299)+(F196*-3518.8948)+(G196*22177.7478)+(H196*23748.7981)</f>
        <v>694959.03861188376</v>
      </c>
      <c r="O196">
        <f>I196-N196</f>
        <v>17909.311388116213</v>
      </c>
      <c r="P196">
        <f>O196^2</f>
        <v>320743434.39650911</v>
      </c>
    </row>
    <row r="197" spans="1:16">
      <c r="A197" s="3">
        <v>97480.94</v>
      </c>
      <c r="B197" s="3">
        <v>6840</v>
      </c>
      <c r="C197" s="3">
        <v>8.6999999999999994E-2</v>
      </c>
      <c r="D197" s="3">
        <v>14</v>
      </c>
      <c r="E197" s="3">
        <v>79.2</v>
      </c>
      <c r="F197" s="3">
        <v>1.1399999999999999</v>
      </c>
      <c r="G197" s="3">
        <v>0</v>
      </c>
      <c r="H197" s="3">
        <v>4</v>
      </c>
      <c r="I197" s="3">
        <v>729440.45</v>
      </c>
      <c r="J197">
        <v>1</v>
      </c>
      <c r="K197">
        <v>0</v>
      </c>
      <c r="L197">
        <v>0</v>
      </c>
      <c r="M197">
        <v>0</v>
      </c>
      <c r="N197">
        <f>80932.3403+(A197*1.00478527)+(B197*31.2531946)+(C197*-114994.58)+(D197*908.742526)+(E197*2836.50299)+(F197*-3518.8948)+(G197*22177.7478)+(H197*23748.7981)</f>
        <v>711004.16002175375</v>
      </c>
      <c r="O197">
        <f>I197-N197</f>
        <v>18436.289978246205</v>
      </c>
      <c r="P197">
        <f>O197^2</f>
        <v>339896788.16198146</v>
      </c>
    </row>
    <row r="198" spans="1:16">
      <c r="A198" s="3">
        <v>36832.33</v>
      </c>
      <c r="B198" s="3">
        <v>8001</v>
      </c>
      <c r="C198" s="3">
        <v>0</v>
      </c>
      <c r="D198" s="3">
        <v>19</v>
      </c>
      <c r="E198" s="3">
        <v>88.7</v>
      </c>
      <c r="F198" s="3">
        <v>3.39</v>
      </c>
      <c r="G198" s="3">
        <v>0</v>
      </c>
      <c r="H198" s="3">
        <v>4</v>
      </c>
      <c r="I198" s="3">
        <v>738548.42</v>
      </c>
      <c r="J198">
        <v>0</v>
      </c>
      <c r="K198">
        <v>1</v>
      </c>
      <c r="L198">
        <v>0</v>
      </c>
      <c r="M198">
        <v>0</v>
      </c>
      <c r="N198">
        <f>80932.3403+(A198*1.00478527)+(B198*31.2531946)+(C198*-114994.58)+(D198*908.742526)+(E198*2836.50299)+(F198*-3518.8948)+(G198*22177.7478)+(H198*23748.7981)</f>
        <v>719927.79517337913</v>
      </c>
      <c r="O198">
        <f>I198-N198</f>
        <v>18620.624826620915</v>
      </c>
      <c r="P198">
        <f>O198^2</f>
        <v>346727668.93377119</v>
      </c>
    </row>
    <row r="199" spans="1:16">
      <c r="A199" s="3">
        <v>93381.26</v>
      </c>
      <c r="B199" s="3">
        <v>7562</v>
      </c>
      <c r="C199" s="3">
        <v>0.19800000000000001</v>
      </c>
      <c r="D199" s="3">
        <v>19</v>
      </c>
      <c r="E199" s="3">
        <v>82.9</v>
      </c>
      <c r="F199" s="3">
        <v>5.05</v>
      </c>
      <c r="G199" s="3">
        <v>0</v>
      </c>
      <c r="H199" s="3">
        <v>4</v>
      </c>
      <c r="I199" s="3">
        <v>736633.4</v>
      </c>
      <c r="J199">
        <v>1</v>
      </c>
      <c r="K199">
        <v>0</v>
      </c>
      <c r="L199">
        <v>1</v>
      </c>
      <c r="M199">
        <v>0</v>
      </c>
      <c r="N199">
        <f>80932.3403+(A199*1.00478527)+(B199*31.2531946)+(C199*-114994.58)+(D199*908.742526)+(E199*2836.50299)+(F199*-3518.8948)+(G199*22177.7478)+(H199*23748.7981)</f>
        <v>717965.16509224032</v>
      </c>
      <c r="O199">
        <f>I199-N199</f>
        <v>18668.234907759703</v>
      </c>
      <c r="P199">
        <f>O199^2</f>
        <v>348502994.57129794</v>
      </c>
    </row>
    <row r="200" spans="1:16">
      <c r="A200" s="3">
        <v>22387.26</v>
      </c>
      <c r="B200" s="3">
        <v>6301</v>
      </c>
      <c r="C200" s="3">
        <v>0.14599999999999999</v>
      </c>
      <c r="D200" s="3">
        <v>14</v>
      </c>
      <c r="E200" s="3">
        <v>85.9</v>
      </c>
      <c r="F200" s="3">
        <v>1.17</v>
      </c>
      <c r="G200" s="3">
        <v>1</v>
      </c>
      <c r="H200" s="3">
        <v>3.7</v>
      </c>
      <c r="I200" s="3">
        <v>665342.49</v>
      </c>
      <c r="J200">
        <v>0</v>
      </c>
      <c r="K200">
        <v>1</v>
      </c>
      <c r="L200">
        <v>0</v>
      </c>
      <c r="M200">
        <v>0</v>
      </c>
      <c r="N200">
        <f>80932.3403+(A200*1.00478527)+(B200*31.2531946)+(C200*-114994.58)+(D200*908.742526)+(E200*2836.50299)+(F200*-3518.8948)+(G200*22177.7478)+(H200*23748.7981)</f>
        <v>645873.09593726019</v>
      </c>
      <c r="O200">
        <f>I200-N200</f>
        <v>19469.394062739797</v>
      </c>
      <c r="P200">
        <f>O200^2</f>
        <v>379057305.17024767</v>
      </c>
    </row>
    <row r="201" spans="1:16">
      <c r="A201" s="3">
        <v>55599.56</v>
      </c>
      <c r="B201" s="3">
        <v>5896</v>
      </c>
      <c r="C201" s="3">
        <v>3.5999999999999997E-2</v>
      </c>
      <c r="D201" s="3">
        <v>12</v>
      </c>
      <c r="E201" s="3">
        <v>93.1</v>
      </c>
      <c r="F201" s="3">
        <v>6.13</v>
      </c>
      <c r="G201" s="3">
        <v>0</v>
      </c>
      <c r="H201" s="3">
        <v>3.3</v>
      </c>
      <c r="I201" s="3">
        <v>668459.37</v>
      </c>
      <c r="J201">
        <v>0</v>
      </c>
      <c r="K201">
        <v>0</v>
      </c>
      <c r="L201">
        <v>0</v>
      </c>
      <c r="M201">
        <v>0</v>
      </c>
      <c r="N201">
        <f>80932.3403+(A201*1.00478527)+(B201*31.2531946)+(C201*-114994.58)+(D201*908.742526)+(E201*2836.50299)+(F201*-3518.8948)+(G201*22177.7478)+(H201*23748.7981)</f>
        <v>648710.5369750812</v>
      </c>
      <c r="O201">
        <f>I201-N201</f>
        <v>19748.8330249188</v>
      </c>
      <c r="P201">
        <f>O201^2</f>
        <v>390016405.84612346</v>
      </c>
    </row>
    <row r="202" spans="1:16">
      <c r="A202" s="3">
        <v>74679.350000000006</v>
      </c>
      <c r="B202" s="3">
        <v>8739</v>
      </c>
      <c r="C202" s="3">
        <v>5.6000000000000001E-2</v>
      </c>
      <c r="D202" s="3">
        <v>21</v>
      </c>
      <c r="E202" s="3">
        <v>91.8</v>
      </c>
      <c r="F202" s="3">
        <v>2.83</v>
      </c>
      <c r="G202" s="3">
        <v>0</v>
      </c>
      <c r="H202" s="3">
        <v>3</v>
      </c>
      <c r="I202" s="3">
        <v>783797.89</v>
      </c>
      <c r="J202">
        <v>0</v>
      </c>
      <c r="K202">
        <v>0</v>
      </c>
      <c r="L202">
        <v>0</v>
      </c>
      <c r="M202">
        <v>0</v>
      </c>
      <c r="N202">
        <f>80932.3403+(A202*1.00478527)+(B202*31.2531946)+(C202*-114994.58)+(D202*908.742526)+(E202*2836.50299)+(F202*-3518.8948)+(G202*22177.7478)+(H202*23748.7981)</f>
        <v>763413.51182657445</v>
      </c>
      <c r="O202">
        <f>I202-N202</f>
        <v>20384.378173425561</v>
      </c>
      <c r="P202">
        <f>O202^2</f>
        <v>415522873.51722842</v>
      </c>
    </row>
    <row r="203" spans="1:16">
      <c r="A203" s="3">
        <v>50043.65</v>
      </c>
      <c r="B203" s="3">
        <v>3804</v>
      </c>
      <c r="C203" s="3">
        <v>0.113</v>
      </c>
      <c r="D203" s="3">
        <v>11</v>
      </c>
      <c r="E203" s="3">
        <v>90.9</v>
      </c>
      <c r="F203" s="3">
        <v>2.7</v>
      </c>
      <c r="G203" s="3">
        <v>1</v>
      </c>
      <c r="H203" s="3">
        <v>3.2</v>
      </c>
      <c r="I203" s="3">
        <v>614800.09</v>
      </c>
      <c r="J203">
        <v>0</v>
      </c>
      <c r="K203">
        <v>0</v>
      </c>
      <c r="L203">
        <v>0</v>
      </c>
      <c r="M203">
        <v>0</v>
      </c>
      <c r="N203">
        <f>80932.3403+(A203*1.00478527)+(B203*31.2531946)+(C203*-114994.58)+(D203*908.742526)+(E203*2836.50299)+(F203*-3518.8948)+(G203*22177.7478)+(H203*23748.7981)</f>
        <v>593615.4027324355</v>
      </c>
      <c r="O203">
        <f>I203-N203</f>
        <v>21184.68726756447</v>
      </c>
      <c r="P203">
        <f>O203^2</f>
        <v>448790974.62450814</v>
      </c>
    </row>
    <row r="204" spans="1:16">
      <c r="A204" s="3">
        <v>67494.09</v>
      </c>
      <c r="B204" s="3">
        <v>12361</v>
      </c>
      <c r="C204" s="3">
        <v>4.5999999999999999E-2</v>
      </c>
      <c r="D204" s="3">
        <v>24</v>
      </c>
      <c r="E204" s="3">
        <v>76.599999999999994</v>
      </c>
      <c r="F204" s="3">
        <v>3.65</v>
      </c>
      <c r="G204" s="3">
        <v>1</v>
      </c>
      <c r="H204" s="3">
        <v>3.7</v>
      </c>
      <c r="I204" s="3">
        <v>887537.75</v>
      </c>
      <c r="J204">
        <v>0</v>
      </c>
      <c r="K204">
        <v>0</v>
      </c>
      <c r="L204">
        <v>0</v>
      </c>
      <c r="M204">
        <v>0</v>
      </c>
      <c r="N204">
        <f>80932.3403+(A204*1.00478527)+(B204*31.2531946)+(C204*-114994.58)+(D204*908.742526)+(E204*2836.50299)+(F204*-3518.8948)+(G204*22177.7478)+(H204*23748.7981)</f>
        <v>866070.67992265418</v>
      </c>
      <c r="O204">
        <f>I204-N204</f>
        <v>21467.070077345823</v>
      </c>
      <c r="P204">
        <f>O204^2</f>
        <v>460835097.70567638</v>
      </c>
    </row>
    <row r="205" spans="1:16">
      <c r="A205" s="3">
        <v>54322.94</v>
      </c>
      <c r="B205" s="3">
        <v>5434</v>
      </c>
      <c r="C205" s="3">
        <v>0.2</v>
      </c>
      <c r="D205" s="3">
        <v>13</v>
      </c>
      <c r="E205" s="3">
        <v>85.7</v>
      </c>
      <c r="F205" s="3">
        <v>10.6</v>
      </c>
      <c r="G205" s="3">
        <v>0</v>
      </c>
      <c r="H205" s="3">
        <v>4.2</v>
      </c>
      <c r="I205" s="3">
        <v>621677.30000000005</v>
      </c>
      <c r="J205">
        <v>0</v>
      </c>
      <c r="K205">
        <v>1</v>
      </c>
      <c r="L205">
        <v>0</v>
      </c>
      <c r="M205">
        <v>0</v>
      </c>
      <c r="N205">
        <f>80932.3403+(A205*1.00478527)+(B205*31.2531946)+(C205*-114994.58)+(D205*908.742526)+(E205*2836.50299)+(F205*-3518.8948)+(G205*22177.7478)+(H205*23748.7981)</f>
        <v>599692.79991249379</v>
      </c>
      <c r="O205">
        <f>I205-N205</f>
        <v>21984.500087506254</v>
      </c>
      <c r="P205">
        <f>O205^2</f>
        <v>483318244.09756249</v>
      </c>
    </row>
    <row r="206" spans="1:16">
      <c r="A206" s="3">
        <v>47241.919999999998</v>
      </c>
      <c r="B206" s="3">
        <v>4264</v>
      </c>
      <c r="C206" s="3">
        <v>6.9000000000000006E-2</v>
      </c>
      <c r="D206" s="3">
        <v>13</v>
      </c>
      <c r="E206" s="3">
        <v>95.3</v>
      </c>
      <c r="F206" s="3">
        <v>0.85</v>
      </c>
      <c r="G206" s="3">
        <v>0</v>
      </c>
      <c r="H206" s="3">
        <v>4.3</v>
      </c>
      <c r="I206" s="3">
        <v>658072.14</v>
      </c>
      <c r="J206">
        <v>0</v>
      </c>
      <c r="K206">
        <v>0</v>
      </c>
      <c r="L206">
        <v>0</v>
      </c>
      <c r="M206">
        <v>0</v>
      </c>
      <c r="N206">
        <f>80932.3403+(A206*1.00478527)+(B206*31.2531946)+(C206*-114994.58)+(D206*908.742526)+(E206*2836.50299)+(F206*-3518.8948)+(G206*22177.7478)+(H206*23748.7981)</f>
        <v>634990.4804319184</v>
      </c>
      <c r="O206">
        <f>I206-N206</f>
        <v>23081.65956808161</v>
      </c>
      <c r="P206">
        <f>O206^2</f>
        <v>532763008.41681331</v>
      </c>
    </row>
    <row r="207" spans="1:16">
      <c r="A207" s="3">
        <v>50887.46</v>
      </c>
      <c r="B207" s="3">
        <v>9505</v>
      </c>
      <c r="C207" s="3">
        <v>9.0999999999999998E-2</v>
      </c>
      <c r="D207" s="3">
        <v>25</v>
      </c>
      <c r="E207" s="3">
        <v>89.7</v>
      </c>
      <c r="F207" s="3">
        <v>2.8</v>
      </c>
      <c r="G207" s="3">
        <v>0</v>
      </c>
      <c r="H207" s="3">
        <v>4.3</v>
      </c>
      <c r="I207" s="3">
        <v>812152.6</v>
      </c>
      <c r="J207">
        <v>0</v>
      </c>
      <c r="K207">
        <v>0</v>
      </c>
      <c r="L207">
        <v>0</v>
      </c>
      <c r="M207">
        <v>0</v>
      </c>
      <c r="N207">
        <f>80932.3403+(A207*1.00478527)+(B207*31.2531946)+(C207*-114994.58)+(D207*908.742526)+(E207*2836.50299)+(F207*-3518.8948)+(G207*22177.7478)+(H207*23748.7981)</f>
        <v>788080.22617171425</v>
      </c>
      <c r="O207">
        <f>I207-N207</f>
        <v>24072.373828285723</v>
      </c>
      <c r="P207">
        <f>O207^2</f>
        <v>579479181.72873545</v>
      </c>
    </row>
    <row r="208" spans="1:16">
      <c r="A208" s="3">
        <v>66104.19</v>
      </c>
      <c r="B208" s="3">
        <v>5745</v>
      </c>
      <c r="C208" s="3">
        <v>7.0000000000000007E-2</v>
      </c>
      <c r="D208" s="3">
        <v>17</v>
      </c>
      <c r="E208" s="3">
        <v>95.8</v>
      </c>
      <c r="F208" s="3">
        <v>3.15</v>
      </c>
      <c r="G208" s="3">
        <v>0</v>
      </c>
      <c r="H208" s="3">
        <v>4</v>
      </c>
      <c r="I208" s="3">
        <v>714083.68</v>
      </c>
      <c r="J208">
        <v>0</v>
      </c>
      <c r="K208">
        <v>1</v>
      </c>
      <c r="L208">
        <v>0</v>
      </c>
      <c r="M208">
        <v>0</v>
      </c>
      <c r="N208">
        <f>80932.3403+(A208*1.00478527)+(B208*31.2531946)+(C208*-114994.58)+(D208*908.742526)+(E208*2836.50299)+(F208*-3518.8948)+(G208*22177.7478)+(H208*23748.7981)</f>
        <v>689949.12223828118</v>
      </c>
      <c r="O208">
        <f>I208-N208</f>
        <v>24134.557761718868</v>
      </c>
      <c r="P208">
        <f>O208^2</f>
        <v>582476878.35374451</v>
      </c>
    </row>
    <row r="209" spans="1:16">
      <c r="A209" s="3">
        <v>47093.55</v>
      </c>
      <c r="B209" s="3">
        <v>5550</v>
      </c>
      <c r="C209" s="3">
        <v>0.1</v>
      </c>
      <c r="D209" s="3">
        <v>12</v>
      </c>
      <c r="E209" s="3">
        <v>95</v>
      </c>
      <c r="F209" s="3">
        <v>2.33</v>
      </c>
      <c r="G209" s="3">
        <v>1</v>
      </c>
      <c r="H209" s="3">
        <v>3.7</v>
      </c>
      <c r="I209" s="3">
        <v>696744.15</v>
      </c>
      <c r="J209">
        <v>0</v>
      </c>
      <c r="K209">
        <v>1</v>
      </c>
      <c r="L209">
        <v>1</v>
      </c>
      <c r="M209">
        <v>0</v>
      </c>
      <c r="N209">
        <f>80932.3403+(A209*1.00478527)+(B209*31.2531946)+(C209*-114994.58)+(D209*908.742526)+(E209*2836.50299)+(F209*-3518.8948)+(G209*22177.7478)+(H209*23748.7981)</f>
        <v>672428.98793000856</v>
      </c>
      <c r="O209">
        <f>I209-N209</f>
        <v>24315.162069991464</v>
      </c>
      <c r="P209">
        <f>O209^2</f>
        <v>591227106.48995161</v>
      </c>
    </row>
    <row r="210" spans="1:16">
      <c r="A210" s="3">
        <v>48031.74</v>
      </c>
      <c r="B210" s="3">
        <v>6516</v>
      </c>
      <c r="C210" s="3">
        <v>6.7000000000000004E-2</v>
      </c>
      <c r="D210" s="3">
        <v>14</v>
      </c>
      <c r="E210" s="3">
        <v>99</v>
      </c>
      <c r="F210" s="3">
        <v>0.48</v>
      </c>
      <c r="G210" s="3">
        <v>1</v>
      </c>
      <c r="H210" s="3">
        <v>4.3</v>
      </c>
      <c r="I210" s="3">
        <v>765906.95</v>
      </c>
      <c r="J210">
        <v>1</v>
      </c>
      <c r="K210">
        <v>0</v>
      </c>
      <c r="L210">
        <v>0</v>
      </c>
      <c r="M210">
        <v>0</v>
      </c>
      <c r="N210">
        <f>80932.3403+(A210*1.00478527)+(B210*31.2531946)+(C210*-114994.58)+(D210*908.742526)+(E210*2836.50299)+(F210*-3518.8948)+(G210*22177.7478)+(H210*23748.7981)</f>
        <v>741279.80579806981</v>
      </c>
      <c r="O210">
        <f>I210-N210</f>
        <v>24627.144201930147</v>
      </c>
      <c r="P210">
        <f>O210^2</f>
        <v>606496231.54266167</v>
      </c>
    </row>
    <row r="211" spans="1:16">
      <c r="A211" s="3">
        <v>40923.67</v>
      </c>
      <c r="B211" s="3">
        <v>3875</v>
      </c>
      <c r="C211" s="3">
        <v>0.15</v>
      </c>
      <c r="D211" s="3">
        <v>10</v>
      </c>
      <c r="E211" s="3">
        <v>96.1</v>
      </c>
      <c r="F211" s="3">
        <v>4.5599999999999996</v>
      </c>
      <c r="G211" s="3">
        <v>0</v>
      </c>
      <c r="H211" s="3">
        <v>3.8</v>
      </c>
      <c r="I211" s="3">
        <v>606783.67000000004</v>
      </c>
      <c r="J211">
        <v>1</v>
      </c>
      <c r="K211">
        <v>0</v>
      </c>
      <c r="L211">
        <v>0</v>
      </c>
      <c r="M211">
        <v>0</v>
      </c>
      <c r="N211">
        <f>80932.3403+(A211*1.00478527)+(B211*31.2531946)+(C211*-114994.58)+(D211*908.742526)+(E211*2836.50299)+(F211*-3518.8948)+(G211*22177.7478)+(H211*23748.7981)</f>
        <v>581783.41827634093</v>
      </c>
      <c r="O211">
        <f>I211-N211</f>
        <v>25000.251723659108</v>
      </c>
      <c r="P211">
        <f>O211^2</f>
        <v>625012586.24632025</v>
      </c>
    </row>
    <row r="212" spans="1:16">
      <c r="A212" s="3">
        <v>76942.2</v>
      </c>
      <c r="B212" s="3">
        <v>8934</v>
      </c>
      <c r="C212" s="3">
        <v>8.4000000000000005E-2</v>
      </c>
      <c r="D212" s="3">
        <v>20</v>
      </c>
      <c r="E212" s="3">
        <v>91</v>
      </c>
      <c r="F212" s="3">
        <v>0.95</v>
      </c>
      <c r="G212" s="3">
        <v>0</v>
      </c>
      <c r="H212" s="3">
        <v>3.2</v>
      </c>
      <c r="I212" s="3">
        <v>802001.68</v>
      </c>
      <c r="J212">
        <v>0</v>
      </c>
      <c r="K212">
        <v>0</v>
      </c>
      <c r="L212">
        <v>0</v>
      </c>
      <c r="M212">
        <v>0</v>
      </c>
      <c r="N212">
        <f>80932.3403+(A212*1.00478527)+(B212*31.2531946)+(C212*-114994.58)+(D212*908.742526)+(E212*2836.50299)+(F212*-3518.8948)+(G212*22177.7478)+(H212*23748.7981)</f>
        <v>776749.05180779402</v>
      </c>
      <c r="O212">
        <f>I212-N212</f>
        <v>25252.62819220603</v>
      </c>
      <c r="P212">
        <f>O212^2</f>
        <v>637695230.61379874</v>
      </c>
    </row>
    <row r="213" spans="1:16">
      <c r="A213" s="3">
        <v>86026.58</v>
      </c>
      <c r="B213" s="3">
        <v>7479</v>
      </c>
      <c r="C213" s="3">
        <v>0.14199999999999999</v>
      </c>
      <c r="D213" s="3">
        <v>20</v>
      </c>
      <c r="E213" s="3">
        <v>89</v>
      </c>
      <c r="F213" s="3">
        <v>0.9</v>
      </c>
      <c r="G213" s="3">
        <v>0</v>
      </c>
      <c r="H213" s="3">
        <v>3.92</v>
      </c>
      <c r="I213" s="3">
        <v>771129.07</v>
      </c>
      <c r="J213">
        <v>0</v>
      </c>
      <c r="K213">
        <v>1</v>
      </c>
      <c r="L213">
        <v>0</v>
      </c>
      <c r="M213">
        <v>0</v>
      </c>
      <c r="N213">
        <f>80932.3403+(A213*1.00478527)+(B213*31.2531946)+(C213*-114994.58)+(D213*908.742526)+(E213*2836.50299)+(F213*-3518.8948)+(G213*22177.7478)+(H213*23748.7981)</f>
        <v>745335.8926278766</v>
      </c>
      <c r="O213">
        <f>I213-N213</f>
        <v>25793.177372123348</v>
      </c>
      <c r="P213">
        <f>O213^2</f>
        <v>665287998.94981587</v>
      </c>
    </row>
    <row r="214" spans="1:16">
      <c r="A214" s="3">
        <v>57225.98</v>
      </c>
      <c r="B214" s="3">
        <v>2842</v>
      </c>
      <c r="C214" s="3">
        <v>0.112</v>
      </c>
      <c r="D214" s="3">
        <v>10</v>
      </c>
      <c r="E214" s="3">
        <v>79.5</v>
      </c>
      <c r="F214" s="3">
        <v>5.45</v>
      </c>
      <c r="G214" s="3">
        <v>0</v>
      </c>
      <c r="H214" s="3">
        <v>3.4</v>
      </c>
      <c r="I214" s="3">
        <v>536545.49</v>
      </c>
      <c r="J214">
        <v>0</v>
      </c>
      <c r="K214">
        <v>0</v>
      </c>
      <c r="L214">
        <v>1</v>
      </c>
      <c r="M214">
        <v>0</v>
      </c>
      <c r="N214">
        <f>80932.3403+(A214*1.00478527)+(B214*31.2531946)+(C214*-114994.58)+(D214*908.742526)+(E214*2836.50299)+(F214*-3518.8948)+(G214*22177.7478)+(H214*23748.7981)</f>
        <v>510531.69800351461</v>
      </c>
      <c r="O214">
        <f>I214-N214</f>
        <v>26013.791996485379</v>
      </c>
      <c r="P214">
        <f>O214^2</f>
        <v>676717374.03640676</v>
      </c>
    </row>
    <row r="215" spans="1:16">
      <c r="A215" s="3">
        <v>50517.94</v>
      </c>
      <c r="B215" s="3">
        <v>7024</v>
      </c>
      <c r="C215" s="3">
        <v>2.9000000000000001E-2</v>
      </c>
      <c r="D215" s="3">
        <v>18</v>
      </c>
      <c r="E215" s="3">
        <v>79.2</v>
      </c>
      <c r="F215" s="3">
        <v>6.61</v>
      </c>
      <c r="G215" s="3">
        <v>1</v>
      </c>
      <c r="H215" s="3">
        <v>4.0999999999999996</v>
      </c>
      <c r="I215" s="3">
        <v>711213.46</v>
      </c>
      <c r="J215">
        <v>0</v>
      </c>
      <c r="K215">
        <v>1</v>
      </c>
      <c r="L215">
        <v>1</v>
      </c>
      <c r="M215">
        <v>0</v>
      </c>
      <c r="N215">
        <f>80932.3403+(A215*1.00478527)+(B215*31.2531946)+(C215*-114994.58)+(D215*908.742526)+(E215*2836.50299)+(F215*-3518.8948)+(G215*22177.7478)+(H215*23748.7981)</f>
        <v>685175.94599114382</v>
      </c>
      <c r="O215">
        <f>I215-N215</f>
        <v>26037.514008856146</v>
      </c>
      <c r="P215">
        <f>O215^2</f>
        <v>677952135.76138008</v>
      </c>
    </row>
    <row r="216" spans="1:16">
      <c r="A216" s="3">
        <v>51148.69</v>
      </c>
      <c r="B216" s="3">
        <v>7940</v>
      </c>
      <c r="C216" s="3">
        <v>0.156</v>
      </c>
      <c r="D216" s="3">
        <v>18</v>
      </c>
      <c r="E216" s="3">
        <v>93.3</v>
      </c>
      <c r="F216" s="3">
        <v>10.91</v>
      </c>
      <c r="G216" s="3">
        <v>0</v>
      </c>
      <c r="H216" s="3">
        <v>3.6</v>
      </c>
      <c r="I216" s="3">
        <v>717141.55</v>
      </c>
      <c r="J216">
        <v>0</v>
      </c>
      <c r="K216">
        <v>0</v>
      </c>
      <c r="L216">
        <v>0</v>
      </c>
      <c r="M216">
        <v>0</v>
      </c>
      <c r="N216">
        <f>80932.3403+(A216*1.00478527)+(B216*31.2531946)+(C216*-114994.58)+(D216*908.742526)+(E216*2836.50299)+(F216*-3518.8948)+(G216*22177.7478)+(H216*23748.7981)</f>
        <v>690644.62656279618</v>
      </c>
      <c r="O216">
        <f>I216-N216</f>
        <v>26496.923437203863</v>
      </c>
      <c r="P216">
        <f>O216^2</f>
        <v>702086951.63704336</v>
      </c>
    </row>
    <row r="217" spans="1:16">
      <c r="A217" s="3">
        <v>82116.19</v>
      </c>
      <c r="B217" s="3">
        <v>5988</v>
      </c>
      <c r="C217" s="3">
        <v>0.04</v>
      </c>
      <c r="D217" s="3">
        <v>17</v>
      </c>
      <c r="E217" s="3">
        <v>91.8</v>
      </c>
      <c r="F217" s="3">
        <v>5.75</v>
      </c>
      <c r="G217" s="3">
        <v>0</v>
      </c>
      <c r="H217" s="3">
        <v>4.7</v>
      </c>
      <c r="I217" s="3">
        <v>739852.58</v>
      </c>
      <c r="J217">
        <v>0</v>
      </c>
      <c r="K217">
        <v>1</v>
      </c>
      <c r="L217">
        <v>1</v>
      </c>
      <c r="M217">
        <v>0</v>
      </c>
      <c r="N217">
        <f>80932.3403+(A217*1.00478527)+(B217*31.2531946)+(C217*-114994.58)+(D217*908.742526)+(E217*2836.50299)+(F217*-3518.8948)+(G217*22177.7478)+(H217*23748.7981)</f>
        <v>713211.12789932126</v>
      </c>
      <c r="O217">
        <f>I217-N217</f>
        <v>26641.452100678696</v>
      </c>
      <c r="P217">
        <f>O217^2</f>
        <v>709766970.03275728</v>
      </c>
    </row>
    <row r="218" spans="1:16">
      <c r="A218" s="3">
        <v>40535.089999999997</v>
      </c>
      <c r="B218" s="3">
        <v>8870</v>
      </c>
      <c r="C218" s="3">
        <v>4.1000000000000002E-2</v>
      </c>
      <c r="D218" s="3">
        <v>21</v>
      </c>
      <c r="E218" s="3">
        <v>86.6</v>
      </c>
      <c r="F218" s="3">
        <v>0.3</v>
      </c>
      <c r="G218" s="3">
        <v>0</v>
      </c>
      <c r="H218" s="3">
        <v>4.0999999999999996</v>
      </c>
      <c r="I218" s="3">
        <v>781955.52</v>
      </c>
      <c r="J218">
        <v>0</v>
      </c>
      <c r="K218">
        <v>0</v>
      </c>
      <c r="L218">
        <v>0</v>
      </c>
      <c r="M218">
        <v>0</v>
      </c>
      <c r="N218">
        <f>80932.3403+(A218*1.00478527)+(B218*31.2531946)+(C218*-114994.58)+(D218*908.742526)+(E218*2836.50299)+(F218*-3518.8948)+(G218*22177.7478)+(H218*23748.7981)</f>
        <v>755201.61572212423</v>
      </c>
      <c r="O218">
        <f>I218-N218</f>
        <v>26753.904277875787</v>
      </c>
      <c r="P218">
        <f>O218^2</f>
        <v>715771394.10974038</v>
      </c>
    </row>
    <row r="219" spans="1:16">
      <c r="A219" s="3">
        <v>50532.17</v>
      </c>
      <c r="B219" s="3">
        <v>5689</v>
      </c>
      <c r="C219" s="3">
        <v>5.1999999999999998E-2</v>
      </c>
      <c r="D219" s="3">
        <v>17</v>
      </c>
      <c r="E219" s="3">
        <v>85.6</v>
      </c>
      <c r="F219" s="3">
        <v>6.23</v>
      </c>
      <c r="G219" s="3">
        <v>0</v>
      </c>
      <c r="H219" s="3">
        <v>3.3</v>
      </c>
      <c r="I219" s="3">
        <v>645039.97</v>
      </c>
      <c r="J219">
        <v>0</v>
      </c>
      <c r="K219">
        <v>0</v>
      </c>
      <c r="L219">
        <v>0</v>
      </c>
      <c r="M219">
        <v>0</v>
      </c>
      <c r="N219">
        <f>80932.3403+(A219*1.00478527)+(B219*31.2531946)+(C219*-114994.58)+(D219*908.742526)+(E219*2836.50299)+(F219*-3518.8948)+(G219*22177.7478)+(H219*23748.7981)</f>
        <v>618227.62430853595</v>
      </c>
      <c r="O219">
        <f>I219-N219</f>
        <v>26812.345691464026</v>
      </c>
      <c r="P219">
        <f>O219^2</f>
        <v>718901881.47856951</v>
      </c>
    </row>
    <row r="220" spans="1:16">
      <c r="A220" s="3">
        <v>66456.28</v>
      </c>
      <c r="B220" s="3">
        <v>9967</v>
      </c>
      <c r="C220" s="3">
        <v>0.108</v>
      </c>
      <c r="D220" s="3">
        <v>20</v>
      </c>
      <c r="E220" s="3">
        <v>94.7</v>
      </c>
      <c r="F220" s="3">
        <v>4.4800000000000004</v>
      </c>
      <c r="G220" s="3">
        <v>0</v>
      </c>
      <c r="H220" s="3">
        <v>4.2</v>
      </c>
      <c r="I220" s="3">
        <v>844710.67</v>
      </c>
      <c r="J220">
        <v>1</v>
      </c>
      <c r="K220">
        <v>0</v>
      </c>
      <c r="L220">
        <v>0</v>
      </c>
      <c r="M220">
        <v>0</v>
      </c>
      <c r="N220">
        <f>80932.3403+(A220*1.00478527)+(B220*31.2531946)+(C220*-114994.58)+(D220*908.742526)+(E220*2836.50299)+(F220*-3518.8948)+(G220*22177.7478)+(H220*23748.7981)</f>
        <v>817559.79447019543</v>
      </c>
      <c r="O220">
        <f>I220-N220</f>
        <v>27150.875529804616</v>
      </c>
      <c r="P220">
        <f>O220^2</f>
        <v>737170042.0349431</v>
      </c>
    </row>
    <row r="221" spans="1:16">
      <c r="A221" s="3">
        <v>50825.08</v>
      </c>
      <c r="B221" s="3">
        <v>8949</v>
      </c>
      <c r="C221" s="3">
        <v>0.157</v>
      </c>
      <c r="D221" s="3">
        <v>21</v>
      </c>
      <c r="E221" s="3">
        <v>84.7</v>
      </c>
      <c r="F221" s="3">
        <v>7.73</v>
      </c>
      <c r="G221" s="3">
        <v>0</v>
      </c>
      <c r="H221" s="3">
        <v>4.9000000000000004</v>
      </c>
      <c r="I221" s="3">
        <v>769702.76</v>
      </c>
      <c r="J221">
        <v>0</v>
      </c>
      <c r="K221">
        <v>0</v>
      </c>
      <c r="L221">
        <v>0</v>
      </c>
      <c r="M221">
        <v>0</v>
      </c>
      <c r="N221">
        <f>80932.3403+(A221*1.00478527)+(B221*31.2531946)+(C221*-114994.58)+(D221*908.742526)+(E221*2836.50299)+(F221*-3518.8948)+(G221*22177.7478)+(H221*23748.7981)</f>
        <v>742134.77163097146</v>
      </c>
      <c r="O221">
        <f>I221-N221</f>
        <v>27567.98836902855</v>
      </c>
      <c r="P221">
        <f>O221^2</f>
        <v>759993982.71489334</v>
      </c>
    </row>
    <row r="222" spans="1:16">
      <c r="A222" s="3">
        <v>53546.34</v>
      </c>
      <c r="B222" s="3">
        <v>8004</v>
      </c>
      <c r="C222" s="3">
        <v>0</v>
      </c>
      <c r="D222" s="3">
        <v>21</v>
      </c>
      <c r="E222" s="3">
        <v>95.2</v>
      </c>
      <c r="F222" s="3">
        <v>2.83</v>
      </c>
      <c r="G222" s="3">
        <v>0</v>
      </c>
      <c r="H222" s="3">
        <v>3</v>
      </c>
      <c r="I222" s="3">
        <v>763159.92</v>
      </c>
      <c r="J222">
        <v>0</v>
      </c>
      <c r="K222">
        <v>1</v>
      </c>
      <c r="L222">
        <v>0</v>
      </c>
      <c r="M222">
        <v>0</v>
      </c>
      <c r="N222">
        <f>80932.3403+(A222*1.00478527)+(B222*31.2531946)+(C222*-114994.58)+(D222*908.742526)+(E222*2836.50299)+(F222*-3518.8948)+(G222*22177.7478)+(H222*23748.7981)</f>
        <v>735292.08328281192</v>
      </c>
      <c r="O222">
        <f>I222-N222</f>
        <v>27867.836717188125</v>
      </c>
      <c r="P222">
        <f>O222^2</f>
        <v>776616323.29585862</v>
      </c>
    </row>
    <row r="223" spans="1:16">
      <c r="A223" s="3">
        <v>60571.82</v>
      </c>
      <c r="B223" s="3">
        <v>3193</v>
      </c>
      <c r="C223" s="3">
        <v>0.19700000000000001</v>
      </c>
      <c r="D223" s="3">
        <v>7</v>
      </c>
      <c r="E223" s="3">
        <v>99</v>
      </c>
      <c r="F223" s="3">
        <v>1.43</v>
      </c>
      <c r="G223" s="3">
        <v>0</v>
      </c>
      <c r="H223" s="3">
        <v>3.2</v>
      </c>
      <c r="I223" s="3">
        <v>605023.87</v>
      </c>
      <c r="J223">
        <v>0</v>
      </c>
      <c r="K223">
        <v>0</v>
      </c>
      <c r="L223">
        <v>0</v>
      </c>
      <c r="M223">
        <v>0</v>
      </c>
      <c r="N223">
        <f>80932.3403+(A223*1.00478527)+(B223*31.2531946)+(C223*-114994.58)+(D223*908.742526)+(E223*2836.50299)+(F223*-3518.8948)+(G223*22177.7478)+(H223*23748.7981)</f>
        <v>577070.65895889141</v>
      </c>
      <c r="O223">
        <f>I223-N223</f>
        <v>27953.211041108589</v>
      </c>
      <c r="P223">
        <f>O223^2</f>
        <v>781382007.50875509</v>
      </c>
    </row>
    <row r="224" spans="1:16">
      <c r="A224" s="3">
        <v>83044.17</v>
      </c>
      <c r="B224" s="3">
        <v>3694</v>
      </c>
      <c r="C224" s="3">
        <v>0</v>
      </c>
      <c r="D224" s="3">
        <v>14</v>
      </c>
      <c r="E224" s="3">
        <v>89.4</v>
      </c>
      <c r="F224" s="3">
        <v>2.2000000000000002</v>
      </c>
      <c r="G224" s="3">
        <v>0</v>
      </c>
      <c r="H224" s="3">
        <v>3.7</v>
      </c>
      <c r="I224" s="3">
        <v>654317.09</v>
      </c>
      <c r="J224">
        <v>1</v>
      </c>
      <c r="K224">
        <v>0</v>
      </c>
      <c r="L224">
        <v>0</v>
      </c>
      <c r="M224">
        <v>0</v>
      </c>
      <c r="N224">
        <f>80932.3403+(A224*1.00478527)+(B224*31.2531946)+(C224*-114994.58)+(D224*908.742526)+(E224*2836.50299)+(F224*-3518.8948)+(G224*22177.7478)+(H224*23748.7981)</f>
        <v>626257.94700777577</v>
      </c>
      <c r="O224">
        <f>I224-N224</f>
        <v>28059.142992224195</v>
      </c>
      <c r="P224">
        <f>O224^2</f>
        <v>787315505.45808411</v>
      </c>
    </row>
    <row r="225" spans="1:16">
      <c r="A225" s="3">
        <v>39341.449999999997</v>
      </c>
      <c r="B225" s="3">
        <v>1375</v>
      </c>
      <c r="C225" s="3">
        <v>9.2999999999999999E-2</v>
      </c>
      <c r="D225" s="3">
        <v>5</v>
      </c>
      <c r="E225" s="3">
        <v>95</v>
      </c>
      <c r="F225" s="3">
        <v>5.32</v>
      </c>
      <c r="G225" s="3">
        <v>0</v>
      </c>
      <c r="H225" s="3">
        <v>3.92</v>
      </c>
      <c r="I225" s="3">
        <v>529598.93999999994</v>
      </c>
      <c r="J225">
        <v>0</v>
      </c>
      <c r="K225">
        <v>0</v>
      </c>
      <c r="L225">
        <v>1</v>
      </c>
      <c r="M225">
        <v>0</v>
      </c>
      <c r="N225">
        <f>80932.3403+(A225*1.00478527)+(B225*31.2531946)+(C225*-114994.58)+(D225*908.742526)+(E225*2836.50299)+(F225*-3518.8948)+(G225*22177.7478)+(H225*23748.7981)</f>
        <v>501126.96129144152</v>
      </c>
      <c r="O225">
        <f>I225-N225</f>
        <v>28471.978708558425</v>
      </c>
      <c r="P225">
        <f>O225^2</f>
        <v>810653571.58060431</v>
      </c>
    </row>
    <row r="226" spans="1:16">
      <c r="A226" s="3">
        <v>56602.39</v>
      </c>
      <c r="B226" s="3">
        <v>7969</v>
      </c>
      <c r="C226" s="3">
        <v>0.17</v>
      </c>
      <c r="D226" s="3">
        <v>21</v>
      </c>
      <c r="E226" s="3">
        <v>88.3</v>
      </c>
      <c r="F226" s="3">
        <v>2.25</v>
      </c>
      <c r="G226" s="3">
        <v>0</v>
      </c>
      <c r="H226" s="3">
        <v>3.7</v>
      </c>
      <c r="I226" s="3">
        <v>745580.51</v>
      </c>
      <c r="J226">
        <v>0</v>
      </c>
      <c r="K226">
        <v>0</v>
      </c>
      <c r="L226">
        <v>0</v>
      </c>
      <c r="M226">
        <v>0</v>
      </c>
      <c r="N226">
        <f>80932.3403+(A226*1.00478527)+(B226*31.2531946)+(C226*-114994.58)+(D226*908.742526)+(E226*2836.50299)+(F226*-3518.8948)+(G226*22177.7478)+(H226*23748.7981)</f>
        <v>716813.06391919532</v>
      </c>
      <c r="O226">
        <f>I226-N226</f>
        <v>28767.446080804686</v>
      </c>
      <c r="P226">
        <f>O226^2</f>
        <v>827565954.01200485</v>
      </c>
    </row>
    <row r="227" spans="1:16">
      <c r="A227" s="3">
        <v>67439.3</v>
      </c>
      <c r="B227" s="3">
        <v>6477</v>
      </c>
      <c r="C227" s="3">
        <v>0</v>
      </c>
      <c r="D227" s="3">
        <v>16</v>
      </c>
      <c r="E227" s="3">
        <v>90.9</v>
      </c>
      <c r="F227" s="3">
        <v>1.64</v>
      </c>
      <c r="G227" s="3">
        <v>0</v>
      </c>
      <c r="H227" s="3">
        <v>4.5</v>
      </c>
      <c r="I227" s="3">
        <v>753473.55</v>
      </c>
      <c r="J227">
        <v>0</v>
      </c>
      <c r="K227">
        <v>0</v>
      </c>
      <c r="L227">
        <v>0</v>
      </c>
      <c r="M227">
        <v>0</v>
      </c>
      <c r="N227">
        <f>80932.3403+(A227*1.00478527)+(B227*31.2531946)+(C227*-114994.58)+(D227*908.742526)+(E227*2836.50299)+(F227*-3518.8948)+(G227*22177.7478)+(H227*23748.7981)</f>
        <v>724597.90316831111</v>
      </c>
      <c r="O227">
        <f>I227-N227</f>
        <v>28875.646831688937</v>
      </c>
      <c r="P227">
        <f>O227^2</f>
        <v>833802979.94842732</v>
      </c>
    </row>
    <row r="228" spans="1:16">
      <c r="A228" s="3">
        <v>53084.76</v>
      </c>
      <c r="B228" s="3">
        <v>3642</v>
      </c>
      <c r="C228" s="3">
        <v>0.15</v>
      </c>
      <c r="D228" s="3">
        <v>12</v>
      </c>
      <c r="E228" s="3">
        <v>91.4</v>
      </c>
      <c r="F228" s="3">
        <v>0.2</v>
      </c>
      <c r="G228" s="3">
        <v>0</v>
      </c>
      <c r="H228" s="3">
        <v>4.4000000000000004</v>
      </c>
      <c r="I228" s="3">
        <v>635181.35</v>
      </c>
      <c r="J228">
        <v>0</v>
      </c>
      <c r="K228">
        <v>0</v>
      </c>
      <c r="L228">
        <v>1</v>
      </c>
      <c r="M228">
        <v>0</v>
      </c>
      <c r="N228">
        <f>80932.3403+(A228*1.00478527)+(B228*31.2531946)+(C228*-114994.58)+(D228*908.742526)+(E228*2836.50299)+(F228*-3518.8948)+(G228*22177.7478)+(H228*23748.7981)</f>
        <v>604798.28922068514</v>
      </c>
      <c r="O228">
        <f>I228-N228</f>
        <v>30383.060779314837</v>
      </c>
      <c r="P228">
        <f>O228^2</f>
        <v>923130382.31953955</v>
      </c>
    </row>
    <row r="229" spans="1:16">
      <c r="A229" s="3">
        <v>44211.95</v>
      </c>
      <c r="B229" s="3">
        <v>5465</v>
      </c>
      <c r="C229" s="3">
        <v>0.187</v>
      </c>
      <c r="D229" s="3">
        <v>12</v>
      </c>
      <c r="E229" s="3">
        <v>90</v>
      </c>
      <c r="F229" s="3">
        <v>2.89</v>
      </c>
      <c r="G229" s="3">
        <v>0</v>
      </c>
      <c r="H229" s="3">
        <v>3.6</v>
      </c>
      <c r="I229" s="3">
        <v>646559.71</v>
      </c>
      <c r="J229">
        <v>0</v>
      </c>
      <c r="K229">
        <v>1</v>
      </c>
      <c r="L229">
        <v>0</v>
      </c>
      <c r="M229">
        <v>0</v>
      </c>
      <c r="N229">
        <f>80932.3403+(A229*1.00478527)+(B229*31.2531946)+(C229*-114994.58)+(D229*908.742526)+(E229*2836.50299)+(F229*-3518.8948)+(G229*22177.7478)+(H229*23748.7981)</f>
        <v>616166.82504697656</v>
      </c>
      <c r="O229">
        <f>I229-N229</f>
        <v>30392.8849530234</v>
      </c>
      <c r="P229">
        <f>O229^2</f>
        <v>923727455.76771617</v>
      </c>
    </row>
    <row r="230" spans="1:16">
      <c r="A230" s="3">
        <v>67722.289999999994</v>
      </c>
      <c r="B230" s="3">
        <v>7240</v>
      </c>
      <c r="C230" s="3">
        <v>2.5999999999999999E-2</v>
      </c>
      <c r="D230" s="3">
        <v>15</v>
      </c>
      <c r="E230" s="3">
        <v>92.9</v>
      </c>
      <c r="F230" s="3">
        <v>0.28999999999999998</v>
      </c>
      <c r="G230" s="3">
        <v>0</v>
      </c>
      <c r="H230" s="3">
        <v>3.5</v>
      </c>
      <c r="I230" s="3">
        <v>762328.31</v>
      </c>
      <c r="J230">
        <v>0</v>
      </c>
      <c r="K230">
        <v>0</v>
      </c>
      <c r="L230">
        <v>0</v>
      </c>
      <c r="M230">
        <v>0</v>
      </c>
      <c r="N230">
        <f>80932.3403+(A230*1.00478527)+(B230*31.2531946)+(C230*-114994.58)+(D230*908.742526)+(E230*2836.50299)+(F230*-3518.8948)+(G230*22177.7478)+(H230*23748.7981)</f>
        <v>731504.54908566852</v>
      </c>
      <c r="O230">
        <f>I230-N230</f>
        <v>30823.760914331535</v>
      </c>
      <c r="P230">
        <f>O230^2</f>
        <v>950104236.90387237</v>
      </c>
    </row>
    <row r="231" spans="1:16">
      <c r="A231" s="3">
        <v>71851.45</v>
      </c>
      <c r="B231" s="3">
        <v>4970</v>
      </c>
      <c r="C231" s="3">
        <v>9.8000000000000004E-2</v>
      </c>
      <c r="D231" s="3">
        <v>11</v>
      </c>
      <c r="E231" s="3">
        <v>89.6</v>
      </c>
      <c r="F231" s="3">
        <v>0.2</v>
      </c>
      <c r="G231" s="3">
        <v>0</v>
      </c>
      <c r="H231" s="3">
        <v>4.2</v>
      </c>
      <c r="I231" s="3">
        <v>691447.43</v>
      </c>
      <c r="J231">
        <v>1</v>
      </c>
      <c r="K231">
        <v>0</v>
      </c>
      <c r="L231">
        <v>0</v>
      </c>
      <c r="M231">
        <v>0</v>
      </c>
      <c r="N231">
        <f>80932.3403+(A231*1.00478527)+(B231*31.2531946)+(C231*-114994.58)+(D231*908.742526)+(E231*2836.50299)+(F231*-3518.8948)+(G231*22177.7478)+(H231*23748.7981)</f>
        <v>660374.53596014134</v>
      </c>
      <c r="O231">
        <f>I231-N231</f>
        <v>31072.894039858715</v>
      </c>
      <c r="P231">
        <f>O231^2</f>
        <v>965524744.01228726</v>
      </c>
    </row>
    <row r="232" spans="1:16">
      <c r="A232" s="3">
        <v>42932.02</v>
      </c>
      <c r="B232" s="3">
        <v>3872</v>
      </c>
      <c r="C232" s="3">
        <v>0.17100000000000001</v>
      </c>
      <c r="D232" s="3">
        <v>12</v>
      </c>
      <c r="E232" s="3">
        <v>83.2</v>
      </c>
      <c r="F232" s="3">
        <v>15.58</v>
      </c>
      <c r="G232" s="3">
        <v>0</v>
      </c>
      <c r="H232" s="3">
        <v>3.3</v>
      </c>
      <c r="I232" s="3">
        <v>527681.56000000006</v>
      </c>
      <c r="J232">
        <v>0</v>
      </c>
      <c r="K232">
        <v>0</v>
      </c>
      <c r="L232">
        <v>1</v>
      </c>
      <c r="M232">
        <v>0</v>
      </c>
      <c r="N232">
        <f>80932.3403+(A232*1.00478527)+(B232*31.2531946)+(C232*-114994.58)+(D232*908.742526)+(E232*2836.50299)+(F232*-3518.8948)+(G232*22177.7478)+(H232*23748.7981)</f>
        <v>495866.7097445454</v>
      </c>
      <c r="O232">
        <f>I232-N232</f>
        <v>31814.850255454658</v>
      </c>
      <c r="P232">
        <f>O232^2</f>
        <v>1012184696.7770033</v>
      </c>
    </row>
    <row r="233" spans="1:16">
      <c r="A233" s="3">
        <v>49710.29</v>
      </c>
      <c r="B233" s="3">
        <v>5559</v>
      </c>
      <c r="C233" s="3">
        <v>0.218</v>
      </c>
      <c r="D233" s="3">
        <v>14</v>
      </c>
      <c r="E233" s="3">
        <v>71</v>
      </c>
      <c r="F233" s="3">
        <v>9.11</v>
      </c>
      <c r="G233" s="3">
        <v>0</v>
      </c>
      <c r="H233" s="3">
        <v>4.5999999999999996</v>
      </c>
      <c r="I233" s="3">
        <v>603297.56999999995</v>
      </c>
      <c r="J233">
        <v>1</v>
      </c>
      <c r="K233">
        <v>0</v>
      </c>
      <c r="L233">
        <v>1</v>
      </c>
      <c r="M233">
        <v>0</v>
      </c>
      <c r="N233">
        <f>80932.3403+(A233*1.00478527)+(B233*31.2531946)+(C233*-114994.58)+(D233*908.742526)+(E233*2836.50299)+(F233*-3518.8948)+(G233*22177.7478)+(H233*23748.7981)</f>
        <v>570849.64508682827</v>
      </c>
      <c r="O233">
        <f>I233-N233</f>
        <v>32447.924913171679</v>
      </c>
      <c r="P233">
        <f>O233^2</f>
        <v>1052867831.1708273</v>
      </c>
    </row>
    <row r="234" spans="1:16">
      <c r="A234" s="3">
        <v>55101.1</v>
      </c>
      <c r="B234" s="3">
        <v>5281</v>
      </c>
      <c r="C234" s="3">
        <v>0.189</v>
      </c>
      <c r="D234" s="3">
        <v>11</v>
      </c>
      <c r="E234" s="3">
        <v>91</v>
      </c>
      <c r="F234" s="3">
        <v>2.7</v>
      </c>
      <c r="G234" s="3">
        <v>0</v>
      </c>
      <c r="H234" s="3">
        <v>4.4000000000000004</v>
      </c>
      <c r="I234" s="3">
        <v>675177.68</v>
      </c>
      <c r="J234">
        <v>0</v>
      </c>
      <c r="K234">
        <v>0</v>
      </c>
      <c r="L234">
        <v>1</v>
      </c>
      <c r="M234">
        <v>0</v>
      </c>
      <c r="N234">
        <f>80932.3403+(A234*1.00478527)+(B234*31.2531946)+(C234*-114994.58)+(D234*908.742526)+(E234*2836.50299)+(F234*-3518.8948)+(G234*22177.7478)+(H234*23748.7981)</f>
        <v>642722.89455939701</v>
      </c>
      <c r="O234">
        <f>I234-N234</f>
        <v>32454.785440603038</v>
      </c>
      <c r="P234">
        <f>O234^2</f>
        <v>1053313097.995579</v>
      </c>
    </row>
    <row r="235" spans="1:16">
      <c r="A235" s="3">
        <v>51575.68</v>
      </c>
      <c r="B235" s="3">
        <v>5329</v>
      </c>
      <c r="C235" s="3">
        <v>4.7E-2</v>
      </c>
      <c r="D235" s="3">
        <v>17</v>
      </c>
      <c r="E235" s="3">
        <v>88.1</v>
      </c>
      <c r="F235" s="3">
        <v>19.78</v>
      </c>
      <c r="G235" s="3">
        <v>0</v>
      </c>
      <c r="H235" s="3">
        <v>3.8</v>
      </c>
      <c r="I235" s="3">
        <v>614024.91</v>
      </c>
      <c r="J235">
        <v>0</v>
      </c>
      <c r="K235">
        <v>1</v>
      </c>
      <c r="L235">
        <v>1</v>
      </c>
      <c r="M235">
        <v>0</v>
      </c>
      <c r="N235">
        <f>80932.3403+(A235*1.00478527)+(B235*31.2531946)+(C235*-114994.58)+(D235*908.742526)+(E235*2836.50299)+(F235*-3518.8948)+(G235*22177.7478)+(H235*23748.7981)</f>
        <v>579884.5826146336</v>
      </c>
      <c r="O235">
        <f>I235-N235</f>
        <v>34140.327385366429</v>
      </c>
      <c r="P235">
        <f>O235^2</f>
        <v>1165561953.980001</v>
      </c>
    </row>
    <row r="236" spans="1:16">
      <c r="A236" s="3">
        <v>78231.91</v>
      </c>
      <c r="B236" s="3">
        <v>3788</v>
      </c>
      <c r="C236" s="3">
        <v>5.8999999999999997E-2</v>
      </c>
      <c r="D236" s="3">
        <v>11</v>
      </c>
      <c r="E236" s="3">
        <v>88.5</v>
      </c>
      <c r="F236" s="3">
        <v>15.51</v>
      </c>
      <c r="G236" s="3">
        <v>0</v>
      </c>
      <c r="H236" s="3">
        <v>4.3</v>
      </c>
      <c r="I236" s="3">
        <v>614596.31999999995</v>
      </c>
      <c r="J236">
        <v>0</v>
      </c>
      <c r="K236">
        <v>0</v>
      </c>
      <c r="L236">
        <v>0</v>
      </c>
      <c r="M236">
        <v>0</v>
      </c>
      <c r="N236">
        <f>80932.3403+(A236*1.00478527)+(B236*31.2531946)+(C236*-114994.58)+(D236*908.742526)+(E236*2836.50299)+(F236*-3518.8948)+(G236*22177.7478)+(H236*23748.7981)</f>
        <v>579709.48791976576</v>
      </c>
      <c r="O236">
        <f>I236-N236</f>
        <v>34886.832080234191</v>
      </c>
      <c r="P236">
        <f>O236^2</f>
        <v>1217091052.5944576</v>
      </c>
    </row>
    <row r="237" spans="1:16">
      <c r="A237" s="3">
        <v>57147.88</v>
      </c>
      <c r="B237" s="3">
        <v>5252</v>
      </c>
      <c r="C237" s="3">
        <v>0.161</v>
      </c>
      <c r="D237" s="3">
        <v>15</v>
      </c>
      <c r="E237" s="3">
        <v>95.5</v>
      </c>
      <c r="F237" s="3">
        <v>8.51</v>
      </c>
      <c r="G237" s="3">
        <v>0</v>
      </c>
      <c r="H237" s="3">
        <v>4.4000000000000004</v>
      </c>
      <c r="I237" s="3">
        <v>678311.17</v>
      </c>
      <c r="J237">
        <v>1</v>
      </c>
      <c r="K237">
        <v>0</v>
      </c>
      <c r="L237">
        <v>0</v>
      </c>
      <c r="M237">
        <v>0</v>
      </c>
      <c r="N237">
        <f>80932.3403+(A237*1.00478527)+(B237*31.2531946)+(C237*-114994.58)+(D237*908.742526)+(E237*2836.50299)+(F237*-3518.8948)+(G237*22177.7478)+(H237*23748.7981)</f>
        <v>643047.42932192748</v>
      </c>
      <c r="O237">
        <f>I237-N237</f>
        <v>35263.740678072558</v>
      </c>
      <c r="P237">
        <f>O237^2</f>
        <v>1243531406.6103492</v>
      </c>
    </row>
    <row r="238" spans="1:16">
      <c r="A238" s="3">
        <v>75265.02</v>
      </c>
      <c r="B238" s="3">
        <v>6975</v>
      </c>
      <c r="C238" s="3">
        <v>0.157</v>
      </c>
      <c r="D238" s="3">
        <v>20</v>
      </c>
      <c r="E238" s="3">
        <v>73.8</v>
      </c>
      <c r="F238" s="3">
        <v>6.35</v>
      </c>
      <c r="G238" s="3">
        <v>1</v>
      </c>
      <c r="H238" s="3">
        <v>3.8</v>
      </c>
      <c r="I238" s="3">
        <v>709478.39</v>
      </c>
      <c r="J238">
        <v>0</v>
      </c>
      <c r="K238">
        <v>0</v>
      </c>
      <c r="L238">
        <v>1</v>
      </c>
      <c r="M238">
        <v>0</v>
      </c>
      <c r="N238">
        <f>80932.3403+(A238*1.00478527)+(B238*31.2531946)+(C238*-114994.58)+(D238*908.742526)+(E238*2836.50299)+(F238*-3518.8948)+(G238*22177.7478)+(H238*23748.7981)</f>
        <v>674081.37679925538</v>
      </c>
      <c r="O238">
        <f>I238-N238</f>
        <v>35397.013200744637</v>
      </c>
      <c r="P238">
        <f>O238^2</f>
        <v>1252948543.5336902</v>
      </c>
    </row>
    <row r="239" spans="1:16">
      <c r="A239" s="3">
        <v>78432.14</v>
      </c>
      <c r="B239" s="3">
        <v>9440</v>
      </c>
      <c r="C239" s="3">
        <v>0.126</v>
      </c>
      <c r="D239" s="3">
        <v>23</v>
      </c>
      <c r="E239" s="3">
        <v>89.2</v>
      </c>
      <c r="F239" s="3">
        <v>7.86</v>
      </c>
      <c r="G239" s="3">
        <v>0</v>
      </c>
      <c r="H239" s="3">
        <v>4.0999999999999996</v>
      </c>
      <c r="I239" s="3">
        <v>820729.29</v>
      </c>
      <c r="J239">
        <v>1</v>
      </c>
      <c r="K239">
        <v>0</v>
      </c>
      <c r="L239">
        <v>1</v>
      </c>
      <c r="M239">
        <v>0</v>
      </c>
      <c r="N239">
        <f>80932.3403+(A239*1.00478527)+(B239*31.2531946)+(C239*-114994.58)+(D239*908.742526)+(E239*2836.50299)+(F239*-3518.8948)+(G239*22177.7478)+(H239*23748.7981)</f>
        <v>783909.34309857781</v>
      </c>
      <c r="O239">
        <f>I239-N239</f>
        <v>36819.946901422227</v>
      </c>
      <c r="P239">
        <f>O239^2</f>
        <v>1355708489.8235521</v>
      </c>
    </row>
    <row r="240" spans="1:16">
      <c r="A240" s="3">
        <v>65237.79</v>
      </c>
      <c r="B240" s="3">
        <v>8741</v>
      </c>
      <c r="C240" s="3">
        <v>0.157</v>
      </c>
      <c r="D240" s="3">
        <v>20</v>
      </c>
      <c r="E240" s="3">
        <v>94.4</v>
      </c>
      <c r="F240" s="3">
        <v>6.43</v>
      </c>
      <c r="G240" s="3">
        <v>0</v>
      </c>
      <c r="H240" s="3">
        <v>3.3</v>
      </c>
      <c r="I240" s="3">
        <v>780344.18</v>
      </c>
      <c r="J240">
        <v>0</v>
      </c>
      <c r="K240">
        <v>0</v>
      </c>
      <c r="L240">
        <v>0</v>
      </c>
      <c r="M240">
        <v>0</v>
      </c>
      <c r="N240">
        <f>80932.3403+(A240*1.00478527)+(B240*31.2531946)+(C240*-114994.58)+(D240*908.742526)+(E240*2836.50299)+(F240*-3518.8948)+(G240*22177.7478)+(H240*23748.7981)</f>
        <v>743297.60861995327</v>
      </c>
      <c r="O240">
        <f>I240-N240</f>
        <v>37046.571380046778</v>
      </c>
      <c r="P240">
        <f>O240^2</f>
        <v>1372448451.016901</v>
      </c>
    </row>
    <row r="241" spans="1:16">
      <c r="A241" s="3">
        <v>54948.02</v>
      </c>
      <c r="B241" s="3">
        <v>6534</v>
      </c>
      <c r="C241" s="3">
        <v>0.183</v>
      </c>
      <c r="D241" s="3">
        <v>14</v>
      </c>
      <c r="E241" s="3">
        <v>94.5</v>
      </c>
      <c r="F241" s="3">
        <v>1.56</v>
      </c>
      <c r="G241" s="3">
        <v>0</v>
      </c>
      <c r="H241" s="3">
        <v>4</v>
      </c>
      <c r="I241" s="3">
        <v>727957.48</v>
      </c>
      <c r="J241">
        <v>0</v>
      </c>
      <c r="K241">
        <v>1</v>
      </c>
      <c r="L241">
        <v>0</v>
      </c>
      <c r="M241">
        <v>0</v>
      </c>
      <c r="N241">
        <f>80932.3403+(A241*1.00478527)+(B241*31.2531946)+(C241*-114994.58)+(D241*908.742526)+(E241*2836.50299)+(F241*-3518.8948)+(G241*22177.7478)+(H241*23748.7981)</f>
        <v>689585.31121906545</v>
      </c>
      <c r="O241">
        <f>I241-N241</f>
        <v>38372.168780934531</v>
      </c>
      <c r="P241">
        <f>O241^2</f>
        <v>1472423336.9525266</v>
      </c>
    </row>
    <row r="242" spans="1:16">
      <c r="A242" s="3">
        <v>71641.899999999994</v>
      </c>
      <c r="B242" s="3">
        <v>3506</v>
      </c>
      <c r="C242" s="3">
        <v>0</v>
      </c>
      <c r="D242" s="3">
        <v>11</v>
      </c>
      <c r="E242" s="3">
        <v>86.4</v>
      </c>
      <c r="F242" s="3">
        <v>7.77</v>
      </c>
      <c r="G242" s="3">
        <v>0</v>
      </c>
      <c r="H242" s="3">
        <v>4.0999999999999996</v>
      </c>
      <c r="I242" s="3">
        <v>625993.82999999996</v>
      </c>
      <c r="J242">
        <v>0</v>
      </c>
      <c r="K242">
        <v>0</v>
      </c>
      <c r="L242">
        <v>0</v>
      </c>
      <c r="M242">
        <v>0</v>
      </c>
      <c r="N242">
        <f>80932.3403+(A242*1.00478527)+(B242*31.2531946)+(C242*-114994.58)+(D242*908.742526)+(E242*2836.50299)+(F242*-3518.8948)+(G242*22177.7478)+(H242*23748.7981)</f>
        <v>587589.05213841295</v>
      </c>
      <c r="O242">
        <f>I242-N242</f>
        <v>38404.777861587005</v>
      </c>
      <c r="P242">
        <f>O242^2</f>
        <v>1474926962.5978434</v>
      </c>
    </row>
    <row r="243" spans="1:16">
      <c r="A243" s="3">
        <v>73454.539999999994</v>
      </c>
      <c r="B243" s="3">
        <v>8129</v>
      </c>
      <c r="C243" s="3">
        <v>0.21099999999999999</v>
      </c>
      <c r="D243" s="3">
        <v>20</v>
      </c>
      <c r="E243" s="3">
        <v>85.2</v>
      </c>
      <c r="F243" s="3">
        <v>0.88</v>
      </c>
      <c r="G243" s="3">
        <v>0</v>
      </c>
      <c r="H243" s="3">
        <v>3.7</v>
      </c>
      <c r="I243" s="3">
        <v>767792.94</v>
      </c>
      <c r="J243">
        <v>0</v>
      </c>
      <c r="K243">
        <v>0</v>
      </c>
      <c r="L243">
        <v>0</v>
      </c>
      <c r="M243">
        <v>0</v>
      </c>
      <c r="N243">
        <f>80932.3403+(A243*1.00478527)+(B243*31.2531946)+(C243*-114994.58)+(D243*908.742526)+(E243*2836.50299)+(F243*-3518.8948)+(G243*22177.7478)+(H243*23748.7981)</f>
        <v>729150.57344402582</v>
      </c>
      <c r="O243">
        <f>I243-N243</f>
        <v>38642.36655597412</v>
      </c>
      <c r="P243">
        <f>O243^2</f>
        <v>1493232493.0462673</v>
      </c>
    </row>
    <row r="244" spans="1:16">
      <c r="A244" s="3">
        <v>70144.78</v>
      </c>
      <c r="B244" s="3">
        <v>6806</v>
      </c>
      <c r="C244" s="3">
        <v>0.17799999999999999</v>
      </c>
      <c r="D244" s="3">
        <v>20</v>
      </c>
      <c r="E244" s="3">
        <v>93.1</v>
      </c>
      <c r="F244" s="3">
        <v>0.28000000000000003</v>
      </c>
      <c r="G244" s="3">
        <v>1</v>
      </c>
      <c r="H244" s="3">
        <v>4.3</v>
      </c>
      <c r="I244" s="3">
        <v>788087.68</v>
      </c>
      <c r="J244">
        <v>0</v>
      </c>
      <c r="K244">
        <v>0</v>
      </c>
      <c r="L244">
        <v>0</v>
      </c>
      <c r="M244">
        <v>0</v>
      </c>
      <c r="N244">
        <f>80932.3403+(A244*1.00478527)+(B244*31.2531946)+(C244*-114994.58)+(D244*908.742526)+(E244*2836.50299)+(F244*-3518.8948)+(G244*22177.7478)+(H244*23748.7981)</f>
        <v>749218.55719399056</v>
      </c>
      <c r="O244">
        <f>I244-N244</f>
        <v>38869.122806009487</v>
      </c>
      <c r="P244">
        <f>O244^2</f>
        <v>1510808707.7086468</v>
      </c>
    </row>
    <row r="245" spans="1:16">
      <c r="A245" s="3">
        <v>72784.800000000003</v>
      </c>
      <c r="B245" s="3">
        <v>7932</v>
      </c>
      <c r="C245" s="3">
        <v>9.4E-2</v>
      </c>
      <c r="D245" s="3">
        <v>20</v>
      </c>
      <c r="E245" s="3">
        <v>74.900000000000006</v>
      </c>
      <c r="F245" s="3">
        <v>13.62</v>
      </c>
      <c r="G245" s="3">
        <v>0</v>
      </c>
      <c r="H245" s="3">
        <v>4.2</v>
      </c>
      <c r="I245" s="3">
        <v>712546.38</v>
      </c>
      <c r="J245">
        <v>1</v>
      </c>
      <c r="K245">
        <v>0</v>
      </c>
      <c r="L245">
        <v>0</v>
      </c>
      <c r="M245">
        <v>0</v>
      </c>
      <c r="N245">
        <f>80932.3403+(A245*1.00478527)+(B245*31.2531946)+(C245*-114994.58)+(D245*908.742526)+(E245*2836.50299)+(F245*-3518.8948)+(G245*22177.7478)+(H245*23748.7981)</f>
        <v>673602.8135820959</v>
      </c>
      <c r="O245">
        <f>I245-N245</f>
        <v>38943.566417904105</v>
      </c>
      <c r="P245">
        <f>O245^2</f>
        <v>1516601365.3457084</v>
      </c>
    </row>
    <row r="246" spans="1:16">
      <c r="A246" s="3">
        <v>86421.88</v>
      </c>
      <c r="B246" s="3">
        <v>7970</v>
      </c>
      <c r="C246" s="3">
        <v>7.2999999999999995E-2</v>
      </c>
      <c r="D246" s="3">
        <v>17</v>
      </c>
      <c r="E246" s="3">
        <v>91.3</v>
      </c>
      <c r="F246" s="3">
        <v>0.8</v>
      </c>
      <c r="G246" s="3">
        <v>0</v>
      </c>
      <c r="H246" s="3">
        <v>5</v>
      </c>
      <c r="I246" s="3">
        <v>838250.32</v>
      </c>
      <c r="J246">
        <v>0</v>
      </c>
      <c r="K246">
        <v>0</v>
      </c>
      <c r="L246">
        <v>0</v>
      </c>
      <c r="M246">
        <v>0</v>
      </c>
      <c r="N246">
        <f>80932.3403+(A246*1.00478527)+(B246*31.2531946)+(C246*-114994.58)+(D246*908.742526)+(E246*2836.50299)+(F246*-3518.8948)+(G246*22177.7478)+(H246*23748.7981)</f>
        <v>798811.34954070754</v>
      </c>
      <c r="O246">
        <f>I246-N246</f>
        <v>39438.97045929241</v>
      </c>
      <c r="P246">
        <f>O246^2</f>
        <v>1555432390.8889394</v>
      </c>
    </row>
    <row r="247" spans="1:16">
      <c r="A247" s="3">
        <v>59060.05</v>
      </c>
      <c r="B247" s="3">
        <v>9702</v>
      </c>
      <c r="C247" s="3">
        <v>0.20100000000000001</v>
      </c>
      <c r="D247" s="3">
        <v>23</v>
      </c>
      <c r="E247" s="3">
        <v>80.900000000000006</v>
      </c>
      <c r="F247" s="3">
        <v>6.96</v>
      </c>
      <c r="G247" s="3">
        <v>0</v>
      </c>
      <c r="H247" s="3">
        <v>3.2</v>
      </c>
      <c r="I247" s="3">
        <v>761919.25</v>
      </c>
      <c r="J247">
        <v>0</v>
      </c>
      <c r="K247">
        <v>0</v>
      </c>
      <c r="L247">
        <v>1</v>
      </c>
      <c r="M247">
        <v>0</v>
      </c>
      <c r="N247">
        <f>80932.3403+(A247*1.00478527)+(B247*31.2531946)+(C247*-114994.58)+(D247*908.742526)+(E247*2836.50299)+(F247*-3518.8948)+(G247*22177.7478)+(H247*23748.7981)</f>
        <v>722258.40811566357</v>
      </c>
      <c r="O247">
        <f>I247-N247</f>
        <v>39660.841884336434</v>
      </c>
      <c r="P247">
        <f>O247^2</f>
        <v>1572982378.9743352</v>
      </c>
    </row>
    <row r="248" spans="1:16">
      <c r="A248" s="3">
        <v>70799.64</v>
      </c>
      <c r="B248" s="3">
        <v>10076</v>
      </c>
      <c r="C248" s="3">
        <v>0.152</v>
      </c>
      <c r="D248" s="3">
        <v>24</v>
      </c>
      <c r="E248" s="3">
        <v>84.8</v>
      </c>
      <c r="F248" s="3">
        <v>1.87</v>
      </c>
      <c r="G248" s="3">
        <v>0</v>
      </c>
      <c r="H248" s="3">
        <v>3.5</v>
      </c>
      <c r="I248" s="3">
        <v>828219.67</v>
      </c>
      <c r="J248">
        <v>0</v>
      </c>
      <c r="K248">
        <v>1</v>
      </c>
      <c r="L248">
        <v>0</v>
      </c>
      <c r="M248">
        <v>0</v>
      </c>
      <c r="N248">
        <f>80932.3403+(A248*1.00478527)+(B248*31.2531946)+(C248*-114994.58)+(D248*908.742526)+(E248*2836.50299)+(F248*-3518.8948)+(G248*22177.7478)+(H248*23748.7981)</f>
        <v>788384.52257290273</v>
      </c>
      <c r="O248">
        <f>I248-N248</f>
        <v>39835.147427097312</v>
      </c>
      <c r="P248">
        <f>O248^2</f>
        <v>1586838970.5385776</v>
      </c>
    </row>
    <row r="249" spans="1:16">
      <c r="A249" s="3">
        <v>81195.5</v>
      </c>
      <c r="B249" s="3">
        <v>5516</v>
      </c>
      <c r="C249" s="3">
        <v>0.106</v>
      </c>
      <c r="D249" s="3">
        <v>14</v>
      </c>
      <c r="E249" s="3">
        <v>88</v>
      </c>
      <c r="F249" s="3">
        <v>1.76</v>
      </c>
      <c r="G249" s="3">
        <v>0</v>
      </c>
      <c r="H249" s="3">
        <v>4.3</v>
      </c>
      <c r="I249" s="3">
        <v>720852.5</v>
      </c>
      <c r="J249">
        <v>0</v>
      </c>
      <c r="K249">
        <v>0</v>
      </c>
      <c r="L249">
        <v>0</v>
      </c>
      <c r="M249">
        <v>0</v>
      </c>
      <c r="N249">
        <f>80932.3403+(A249*1.00478527)+(B249*31.2531946)+(C249*-114994.58)+(D249*908.742526)+(E249*2836.50299)+(F249*-3518.8948)+(G249*22177.7478)+(H249*23748.7981)</f>
        <v>680980.81408988498</v>
      </c>
      <c r="O249">
        <f>I249-N249</f>
        <v>39871.685910115018</v>
      </c>
      <c r="P249">
        <f>O249^2</f>
        <v>1589751337.3148644</v>
      </c>
    </row>
    <row r="250" spans="1:16">
      <c r="A250" s="3">
        <v>41819.449999999997</v>
      </c>
      <c r="B250" s="3">
        <v>9412</v>
      </c>
      <c r="C250" s="3">
        <v>0.15</v>
      </c>
      <c r="D250" s="3">
        <v>22</v>
      </c>
      <c r="E250" s="3">
        <v>91</v>
      </c>
      <c r="F250" s="3">
        <v>3.67</v>
      </c>
      <c r="G250" s="3">
        <v>0</v>
      </c>
      <c r="H250" s="3">
        <v>4.2</v>
      </c>
      <c r="I250" s="3">
        <v>804975.5</v>
      </c>
      <c r="J250">
        <v>0</v>
      </c>
      <c r="K250">
        <v>0</v>
      </c>
      <c r="L250">
        <v>0</v>
      </c>
      <c r="M250">
        <v>0</v>
      </c>
      <c r="N250">
        <f>80932.3403+(A250*1.00478527)+(B250*31.2531946)+(C250*-114994.58)+(D250*908.742526)+(E250*2836.50299)+(F250*-3518.8948)+(G250*22177.7478)+(H250*23748.7981)</f>
        <v>764802.50400070148</v>
      </c>
      <c r="O250">
        <f>I250-N250</f>
        <v>40172.995999298524</v>
      </c>
      <c r="P250">
        <f>O250^2</f>
        <v>1613869607.5596552</v>
      </c>
    </row>
    <row r="251" spans="1:16">
      <c r="A251" s="3">
        <v>33987.33</v>
      </c>
      <c r="B251" s="3">
        <v>5014</v>
      </c>
      <c r="C251" s="3">
        <v>0.246</v>
      </c>
      <c r="D251" s="3">
        <v>17</v>
      </c>
      <c r="E251" s="3">
        <v>94.3</v>
      </c>
      <c r="F251" s="3">
        <v>10.34</v>
      </c>
      <c r="G251" s="3">
        <v>0</v>
      </c>
      <c r="H251" s="3">
        <v>3.9</v>
      </c>
      <c r="I251" s="3">
        <v>622892.42000000004</v>
      </c>
      <c r="J251">
        <v>1</v>
      </c>
      <c r="K251">
        <v>0</v>
      </c>
      <c r="L251">
        <v>0</v>
      </c>
      <c r="M251">
        <v>0</v>
      </c>
      <c r="N251">
        <f>80932.3403+(A251*1.00478527)+(B251*31.2531946)+(C251*-114994.58)+(D251*908.742526)+(E251*2836.50299)+(F251*-3518.8948)+(G251*22177.7478)+(H251*23748.7981)</f>
        <v>582662.95515202906</v>
      </c>
      <c r="O251">
        <f>I251-N251</f>
        <v>40229.464847970987</v>
      </c>
      <c r="P251">
        <f>O251^2</f>
        <v>1618409841.9541333</v>
      </c>
    </row>
    <row r="252" spans="1:16">
      <c r="A252" s="3">
        <v>68212.289999999994</v>
      </c>
      <c r="B252" s="3">
        <v>4713</v>
      </c>
      <c r="C252" s="3">
        <v>0.19800000000000001</v>
      </c>
      <c r="D252" s="3">
        <v>15</v>
      </c>
      <c r="E252" s="3">
        <v>82.6</v>
      </c>
      <c r="F252" s="3">
        <v>4.07</v>
      </c>
      <c r="G252" s="3">
        <v>1</v>
      </c>
      <c r="H252" s="3">
        <v>3</v>
      </c>
      <c r="I252" s="3">
        <v>641564.6</v>
      </c>
      <c r="J252">
        <v>0</v>
      </c>
      <c r="K252">
        <v>0</v>
      </c>
      <c r="L252">
        <v>1</v>
      </c>
      <c r="M252">
        <v>0</v>
      </c>
      <c r="N252">
        <f>80932.3403+(A252*1.00478527)+(B252*31.2531946)+(C252*-114994.58)+(D252*908.742526)+(E252*2836.50299)+(F252*-3518.8948)+(G252*22177.7478)+(H252*23748.7981)</f>
        <v>601026.94896276831</v>
      </c>
      <c r="O252">
        <f>I252-N252</f>
        <v>40537.65103723167</v>
      </c>
      <c r="P252">
        <f>O252^2</f>
        <v>1643301151.61637</v>
      </c>
    </row>
    <row r="253" spans="1:16">
      <c r="A253" s="3">
        <v>70012.41</v>
      </c>
      <c r="B253" s="3">
        <v>8484</v>
      </c>
      <c r="C253" s="3">
        <v>0.27300000000000002</v>
      </c>
      <c r="D253" s="3">
        <v>23</v>
      </c>
      <c r="E253" s="3">
        <v>72.900000000000006</v>
      </c>
      <c r="F253" s="3">
        <v>3.34</v>
      </c>
      <c r="G253" s="3">
        <v>0</v>
      </c>
      <c r="H253" s="3">
        <v>3.7</v>
      </c>
      <c r="I253" s="3">
        <v>729424.42</v>
      </c>
      <c r="J253">
        <v>0</v>
      </c>
      <c r="K253">
        <v>0</v>
      </c>
      <c r="L253">
        <v>0</v>
      </c>
      <c r="M253">
        <v>0</v>
      </c>
      <c r="N253">
        <f>80932.3403+(A253*1.00478527)+(B253*31.2531946)+(C253*-114994.58)+(D253*908.742526)+(E253*2836.50299)+(F253*-3518.8948)+(G253*22177.7478)+(H253*23748.7981)</f>
        <v>688837.95163860056</v>
      </c>
      <c r="O253">
        <f>I253-N253</f>
        <v>40586.468361399486</v>
      </c>
      <c r="P253">
        <f>O253^2</f>
        <v>1647261414.0508814</v>
      </c>
    </row>
    <row r="254" spans="1:16">
      <c r="A254" s="3">
        <v>56517.9</v>
      </c>
      <c r="B254" s="3">
        <v>9574</v>
      </c>
      <c r="C254" s="3">
        <v>0.20399999999999999</v>
      </c>
      <c r="D254" s="3">
        <v>20</v>
      </c>
      <c r="E254" s="3">
        <v>88.2</v>
      </c>
      <c r="F254" s="3">
        <v>5.37</v>
      </c>
      <c r="G254" s="3">
        <v>1</v>
      </c>
      <c r="H254" s="3">
        <v>4.9000000000000004</v>
      </c>
      <c r="I254" s="3">
        <v>842157.92</v>
      </c>
      <c r="J254">
        <v>0</v>
      </c>
      <c r="K254">
        <v>1</v>
      </c>
      <c r="L254">
        <v>0</v>
      </c>
      <c r="M254">
        <v>0</v>
      </c>
      <c r="N254">
        <f>80932.3403+(A254*1.00478527)+(B254*31.2531946)+(C254*-114994.58)+(D254*908.742526)+(E254*2836.50299)+(F254*-3518.8948)+(G254*22177.7478)+(H254*23748.7981)</f>
        <v>801484.69214373303</v>
      </c>
      <c r="O254">
        <f>I254-N254</f>
        <v>40673.227856267011</v>
      </c>
      <c r="P254">
        <f>O254^2</f>
        <v>1654311464.2478147</v>
      </c>
    </row>
    <row r="255" spans="1:16">
      <c r="A255" s="3">
        <v>65312.49</v>
      </c>
      <c r="B255" s="3">
        <v>7189</v>
      </c>
      <c r="C255" s="3">
        <v>0.05</v>
      </c>
      <c r="D255" s="3">
        <v>19</v>
      </c>
      <c r="E255" s="3">
        <v>93.7</v>
      </c>
      <c r="F255" s="3">
        <v>7.16</v>
      </c>
      <c r="G255" s="3">
        <v>0</v>
      </c>
      <c r="H255" s="3">
        <v>4.5999999999999996</v>
      </c>
      <c r="I255" s="3">
        <v>773815.14</v>
      </c>
      <c r="J255">
        <v>1</v>
      </c>
      <c r="K255">
        <v>0</v>
      </c>
      <c r="L255">
        <v>1</v>
      </c>
      <c r="M255">
        <v>0</v>
      </c>
      <c r="N255">
        <f>80932.3403+(A255*1.00478527)+(B255*31.2531946)+(C255*-114994.58)+(D255*908.742526)+(E255*2836.50299)+(F255*-3518.8948)+(G255*22177.7478)+(H255*23748.7981)</f>
        <v>732582.47782742244</v>
      </c>
      <c r="O255">
        <f>I255-N255</f>
        <v>41232.662172577577</v>
      </c>
      <c r="P255">
        <f>O255^2</f>
        <v>1700132429.8379097</v>
      </c>
    </row>
    <row r="256" spans="1:16">
      <c r="A256" s="3">
        <v>26248.1</v>
      </c>
      <c r="B256" s="3">
        <v>9314</v>
      </c>
      <c r="C256" s="3">
        <v>0.186</v>
      </c>
      <c r="D256" s="3">
        <v>21</v>
      </c>
      <c r="E256" s="3">
        <v>83.7</v>
      </c>
      <c r="F256" s="3">
        <v>4.62</v>
      </c>
      <c r="G256" s="3">
        <v>0</v>
      </c>
      <c r="H256" s="3">
        <v>3.3</v>
      </c>
      <c r="I256" s="3">
        <v>737070.18</v>
      </c>
      <c r="J256">
        <v>0</v>
      </c>
      <c r="K256">
        <v>0</v>
      </c>
      <c r="L256">
        <v>1</v>
      </c>
      <c r="M256">
        <v>0</v>
      </c>
      <c r="N256">
        <f>80932.3403+(A256*1.00478527)+(B256*31.2531946)+(C256*-114994.58)+(D256*908.742526)+(E256*2836.50299)+(F256*-3518.8948)+(G256*22177.7478)+(H256*23748.7981)</f>
        <v>695621.94023288693</v>
      </c>
      <c r="O256">
        <f>I256-N256</f>
        <v>41448.239767113118</v>
      </c>
      <c r="P256">
        <f>O256^2</f>
        <v>1717956579.7920973</v>
      </c>
    </row>
    <row r="257" spans="1:16">
      <c r="A257" s="3">
        <v>68077.539999999994</v>
      </c>
      <c r="B257" s="3">
        <v>3360</v>
      </c>
      <c r="C257" s="3">
        <v>0.128</v>
      </c>
      <c r="D257" s="3">
        <v>14</v>
      </c>
      <c r="E257" s="3">
        <v>88.2</v>
      </c>
      <c r="F257" s="3">
        <v>1.24</v>
      </c>
      <c r="G257" s="3">
        <v>1</v>
      </c>
      <c r="H257" s="3">
        <v>4</v>
      </c>
      <c r="I257" s="3">
        <v>657429.18000000005</v>
      </c>
      <c r="J257">
        <v>0</v>
      </c>
      <c r="K257">
        <v>0</v>
      </c>
      <c r="L257">
        <v>1</v>
      </c>
      <c r="M257">
        <v>0</v>
      </c>
      <c r="N257">
        <f>80932.3403+(A257*1.00478527)+(B257*31.2531946)+(C257*-114994.58)+(D257*908.742526)+(E257*2836.50299)+(F257*-3518.8948)+(G257*22177.7478)+(H257*23748.7981)</f>
        <v>615338.54705583584</v>
      </c>
      <c r="O257">
        <f>I257-N257</f>
        <v>42090.632944164216</v>
      </c>
      <c r="P257">
        <f>O257^2</f>
        <v>1771621381.640362</v>
      </c>
    </row>
    <row r="258" spans="1:16">
      <c r="A258" s="3">
        <v>44034.6</v>
      </c>
      <c r="B258" s="3">
        <v>5645</v>
      </c>
      <c r="C258" s="3">
        <v>6.9000000000000006E-2</v>
      </c>
      <c r="D258" s="3">
        <v>18</v>
      </c>
      <c r="E258" s="3">
        <v>88.5</v>
      </c>
      <c r="F258" s="3">
        <v>3.07</v>
      </c>
      <c r="G258" s="3">
        <v>0</v>
      </c>
      <c r="H258" s="3">
        <v>3.8</v>
      </c>
      <c r="I258" s="3">
        <v>682639.28</v>
      </c>
      <c r="J258">
        <v>0</v>
      </c>
      <c r="K258">
        <v>0</v>
      </c>
      <c r="L258">
        <v>0</v>
      </c>
      <c r="M258">
        <v>0</v>
      </c>
      <c r="N258">
        <f>80932.3403+(A258*1.00478527)+(B258*31.2531946)+(C258*-114994.58)+(D258*908.742526)+(E258*2836.50299)+(F258*-3518.8948)+(G258*22177.7478)+(H258*23748.7981)</f>
        <v>640497.62107434194</v>
      </c>
      <c r="O258">
        <f>I258-N258</f>
        <v>42141.658925658092</v>
      </c>
      <c r="P258">
        <f>O258^2</f>
        <v>1775919417.0064983</v>
      </c>
    </row>
    <row r="259" spans="1:16">
      <c r="A259" s="3">
        <v>37284.660000000003</v>
      </c>
      <c r="B259" s="3">
        <v>3928</v>
      </c>
      <c r="C259" s="3">
        <v>7.3999999999999996E-2</v>
      </c>
      <c r="D259" s="3">
        <v>12</v>
      </c>
      <c r="E259" s="3">
        <v>86.5</v>
      </c>
      <c r="F259" s="3">
        <v>1.64</v>
      </c>
      <c r="G259" s="3">
        <v>0</v>
      </c>
      <c r="H259" s="3">
        <v>3.8</v>
      </c>
      <c r="I259" s="3">
        <v>615966.48</v>
      </c>
      <c r="J259">
        <v>0</v>
      </c>
      <c r="K259">
        <v>1</v>
      </c>
      <c r="L259">
        <v>0</v>
      </c>
      <c r="M259">
        <v>0</v>
      </c>
      <c r="N259">
        <f>80932.3403+(A259*1.00478527)+(B259*31.2531946)+(C259*-114994.58)+(D259*908.742526)+(E259*2836.50299)+(F259*-3518.8948)+(G259*22177.7478)+(H259*23748.7981)</f>
        <v>573385.23118875816</v>
      </c>
      <c r="O259">
        <f>I259-N259</f>
        <v>42581.248811241821</v>
      </c>
      <c r="P259">
        <f>O259^2</f>
        <v>1813162750.324883</v>
      </c>
    </row>
    <row r="260" spans="1:16">
      <c r="A260" s="3">
        <v>55081.16</v>
      </c>
      <c r="B260" s="3">
        <v>5485</v>
      </c>
      <c r="C260" s="3">
        <v>3.5999999999999997E-2</v>
      </c>
      <c r="D260" s="3">
        <v>12</v>
      </c>
      <c r="E260" s="3">
        <v>88</v>
      </c>
      <c r="F260" s="3">
        <v>4.5599999999999996</v>
      </c>
      <c r="G260" s="3">
        <v>0</v>
      </c>
      <c r="H260" s="3">
        <v>3.5</v>
      </c>
      <c r="I260" s="3">
        <v>674774.09</v>
      </c>
      <c r="J260">
        <v>0</v>
      </c>
      <c r="K260">
        <v>0</v>
      </c>
      <c r="L260">
        <v>0</v>
      </c>
      <c r="M260">
        <v>0</v>
      </c>
      <c r="N260">
        <f>80932.3403+(A260*1.00478527)+(B260*31.2531946)+(C260*-114994.58)+(D260*908.742526)+(E260*2836.50299)+(F260*-3518.8948)+(G260*22177.7478)+(H260*23748.7981)</f>
        <v>631152.85251751333</v>
      </c>
      <c r="O260">
        <f>I260-N260</f>
        <v>43621.237482486642</v>
      </c>
      <c r="P260">
        <f>O260^2</f>
        <v>1902812359.5034976</v>
      </c>
    </row>
    <row r="261" spans="1:16">
      <c r="A261" s="3">
        <v>17562.57</v>
      </c>
      <c r="B261" s="3">
        <v>3326</v>
      </c>
      <c r="C261" s="3">
        <v>0.153</v>
      </c>
      <c r="D261" s="3">
        <v>14</v>
      </c>
      <c r="E261" s="3">
        <v>88.1</v>
      </c>
      <c r="F261" s="3">
        <v>1.04</v>
      </c>
      <c r="G261" s="3">
        <v>0</v>
      </c>
      <c r="H261" s="3">
        <v>3.1</v>
      </c>
      <c r="I261" s="3">
        <v>561597.32999999996</v>
      </c>
      <c r="J261">
        <v>0</v>
      </c>
      <c r="K261">
        <v>0</v>
      </c>
      <c r="L261">
        <v>0</v>
      </c>
      <c r="M261">
        <v>0</v>
      </c>
      <c r="N261">
        <f>80932.3403+(A261*1.00478527)+(B261*31.2531946)+(C261*-114994.58)+(D261*908.742526)+(E261*2836.50299)+(F261*-3518.8948)+(G261*22177.7478)+(H261*23748.7981)</f>
        <v>517512.83873994392</v>
      </c>
      <c r="O261">
        <f>I261-N261</f>
        <v>44084.491260056035</v>
      </c>
      <c r="P261">
        <f>O261^2</f>
        <v>1943442369.6579568</v>
      </c>
    </row>
    <row r="262" spans="1:16">
      <c r="A262" s="3">
        <v>71855.09</v>
      </c>
      <c r="B262" s="3">
        <v>5911</v>
      </c>
      <c r="C262" s="3">
        <v>0.19700000000000001</v>
      </c>
      <c r="D262" s="3">
        <v>15</v>
      </c>
      <c r="E262" s="3">
        <v>94.3</v>
      </c>
      <c r="F262" s="3">
        <v>3.55</v>
      </c>
      <c r="G262" s="3">
        <v>0</v>
      </c>
      <c r="H262" s="3">
        <v>4.0999999999999996</v>
      </c>
      <c r="I262" s="3">
        <v>725847.99</v>
      </c>
      <c r="J262">
        <v>0</v>
      </c>
      <c r="K262">
        <v>1</v>
      </c>
      <c r="L262">
        <v>1</v>
      </c>
      <c r="M262">
        <v>0</v>
      </c>
      <c r="N262">
        <f>80932.3403+(A262*1.00478527)+(B262*31.2531946)+(C262*-114994.58)+(D262*908.742526)+(E262*2836.50299)+(F262*-3518.8948)+(G262*22177.7478)+(H262*23748.7981)</f>
        <v>681206.3428441243</v>
      </c>
      <c r="O262">
        <f>I262-N262</f>
        <v>44641.647155875689</v>
      </c>
      <c r="P262">
        <f>O262^2</f>
        <v>1992876660.7897041</v>
      </c>
    </row>
    <row r="263" spans="1:16">
      <c r="A263" s="3">
        <v>42093.84</v>
      </c>
      <c r="B263" s="3">
        <v>4074</v>
      </c>
      <c r="C263" s="3">
        <v>0.155</v>
      </c>
      <c r="D263" s="3">
        <v>15</v>
      </c>
      <c r="E263" s="3">
        <v>88</v>
      </c>
      <c r="F263" s="3">
        <v>9.64</v>
      </c>
      <c r="G263" s="3">
        <v>0</v>
      </c>
      <c r="H263" s="3">
        <v>3.3</v>
      </c>
      <c r="I263" s="3">
        <v>585365.73</v>
      </c>
      <c r="J263">
        <v>0</v>
      </c>
      <c r="K263">
        <v>0</v>
      </c>
      <c r="L263">
        <v>0</v>
      </c>
      <c r="M263">
        <v>0</v>
      </c>
      <c r="N263">
        <f>80932.3403+(A263*1.00478527)+(B263*31.2531946)+(C263*-114994.58)+(D263*908.742526)+(E263*2836.50299)+(F263*-3518.8948)+(G263*22177.7478)+(H263*23748.7981)</f>
        <v>540421.25445813674</v>
      </c>
      <c r="O263">
        <f>I263-N263</f>
        <v>44944.475541863241</v>
      </c>
      <c r="P263">
        <f>O263^2</f>
        <v>2020005881.7331431</v>
      </c>
    </row>
    <row r="264" spans="1:16">
      <c r="A264" s="3">
        <v>51781.599999999999</v>
      </c>
      <c r="B264" s="3">
        <v>5648</v>
      </c>
      <c r="C264" s="3">
        <v>5.8999999999999997E-2</v>
      </c>
      <c r="D264" s="3">
        <v>13</v>
      </c>
      <c r="E264" s="3">
        <v>85.5</v>
      </c>
      <c r="F264" s="3">
        <v>4.04</v>
      </c>
      <c r="G264" s="3">
        <v>0</v>
      </c>
      <c r="H264" s="3">
        <v>3.7</v>
      </c>
      <c r="I264" s="3">
        <v>676337.41</v>
      </c>
      <c r="J264">
        <v>0</v>
      </c>
      <c r="K264">
        <v>1</v>
      </c>
      <c r="L264">
        <v>0</v>
      </c>
      <c r="M264">
        <v>0</v>
      </c>
      <c r="N264">
        <f>80932.3403+(A264*1.00478527)+(B264*31.2531946)+(C264*-114994.58)+(D264*908.742526)+(E264*2836.50299)+(F264*-3518.8948)+(G264*22177.7478)+(H264*23748.7981)</f>
        <v>630683.96857883199</v>
      </c>
      <c r="O264">
        <f>I264-N264</f>
        <v>45653.441421168041</v>
      </c>
      <c r="P264">
        <f>O264^2</f>
        <v>2084236713.5960219</v>
      </c>
    </row>
    <row r="265" spans="1:16">
      <c r="A265" s="3">
        <v>81801.8</v>
      </c>
      <c r="B265" s="3">
        <v>6782</v>
      </c>
      <c r="C265" s="3">
        <v>0.05</v>
      </c>
      <c r="D265" s="3">
        <v>16</v>
      </c>
      <c r="E265" s="3">
        <v>99</v>
      </c>
      <c r="F265" s="3">
        <v>9.5399999999999991</v>
      </c>
      <c r="G265" s="3">
        <v>0</v>
      </c>
      <c r="H265" s="3">
        <v>3.7</v>
      </c>
      <c r="I265" s="3">
        <v>764949</v>
      </c>
      <c r="J265">
        <v>0</v>
      </c>
      <c r="K265">
        <v>1</v>
      </c>
      <c r="L265">
        <v>0</v>
      </c>
      <c r="M265">
        <v>0</v>
      </c>
      <c r="N265">
        <f>80932.3403+(A265*1.00478527)+(B265*31.2531946)+(C265*-114994.58)+(D265*908.742526)+(E265*2836.50299)+(F265*-3518.8948)+(G265*22177.7478)+(H265*23748.7981)</f>
        <v>718988.99378068594</v>
      </c>
      <c r="O265">
        <f>I265-N265</f>
        <v>45960.006219314062</v>
      </c>
      <c r="P265">
        <f>O265^2</f>
        <v>2112322171.6793873</v>
      </c>
    </row>
    <row r="266" spans="1:16">
      <c r="A266" s="3">
        <v>23914.97</v>
      </c>
      <c r="B266" s="3">
        <v>8018</v>
      </c>
      <c r="C266" s="3">
        <v>0.13900000000000001</v>
      </c>
      <c r="D266" s="3">
        <v>20</v>
      </c>
      <c r="E266" s="3">
        <v>89</v>
      </c>
      <c r="F266" s="3">
        <v>0.2</v>
      </c>
      <c r="G266" s="3">
        <v>0</v>
      </c>
      <c r="H266" s="3">
        <v>3.5</v>
      </c>
      <c r="I266" s="3">
        <v>739374.56</v>
      </c>
      <c r="J266">
        <v>0</v>
      </c>
      <c r="K266">
        <v>0</v>
      </c>
      <c r="L266">
        <v>1</v>
      </c>
      <c r="M266">
        <v>0</v>
      </c>
      <c r="N266">
        <f>80932.3403+(A266*1.00478527)+(B266*31.2531946)+(C266*-114994.58)+(D266*908.742526)+(E266*2836.50299)+(F266*-3518.8948)+(G266*22177.7478)+(H266*23748.7981)</f>
        <v>692606.24859129195</v>
      </c>
      <c r="O266">
        <f>I266-N266</f>
        <v>46768.311408708105</v>
      </c>
      <c r="P266">
        <f>O266^2</f>
        <v>2187274952.0218968</v>
      </c>
    </row>
    <row r="267" spans="1:16">
      <c r="A267" s="3">
        <v>45209.25</v>
      </c>
      <c r="B267" s="3">
        <v>9287</v>
      </c>
      <c r="C267" s="3">
        <v>0.14099999999999999</v>
      </c>
      <c r="D267" s="3">
        <v>22</v>
      </c>
      <c r="E267" s="3">
        <v>86.4</v>
      </c>
      <c r="F267" s="3">
        <v>13.22</v>
      </c>
      <c r="G267" s="3">
        <v>0</v>
      </c>
      <c r="H267" s="3">
        <v>3.6</v>
      </c>
      <c r="I267" s="3">
        <v>751393.88</v>
      </c>
      <c r="J267">
        <v>0</v>
      </c>
      <c r="K267">
        <v>0</v>
      </c>
      <c r="L267">
        <v>0</v>
      </c>
      <c r="M267">
        <v>0</v>
      </c>
      <c r="N267">
        <f>80932.3403+(A267*1.00478527)+(B267*31.2531946)+(C267*-114994.58)+(D267*908.742526)+(E267*2836.50299)+(F267*-3518.8948)+(G267*22177.7478)+(H267*23748.7981)</f>
        <v>704434.18904994754</v>
      </c>
      <c r="O267">
        <f>I267-N267</f>
        <v>46959.690950052463</v>
      </c>
      <c r="P267">
        <f>O267^2</f>
        <v>2205212574.1244392</v>
      </c>
    </row>
    <row r="268" spans="1:16">
      <c r="A268" s="3">
        <v>31042.03</v>
      </c>
      <c r="B268" s="3">
        <v>7107</v>
      </c>
      <c r="C268" s="3">
        <v>5.0999999999999997E-2</v>
      </c>
      <c r="D268" s="3">
        <v>15</v>
      </c>
      <c r="E268" s="3">
        <v>87</v>
      </c>
      <c r="F268" s="3">
        <v>13.33</v>
      </c>
      <c r="G268" s="3">
        <v>0</v>
      </c>
      <c r="H268" s="3">
        <v>3.2</v>
      </c>
      <c r="I268" s="3">
        <v>665594.93999999994</v>
      </c>
      <c r="J268">
        <v>0</v>
      </c>
      <c r="K268">
        <v>0</v>
      </c>
      <c r="L268">
        <v>0</v>
      </c>
      <c r="M268">
        <v>0</v>
      </c>
      <c r="N268">
        <f>80932.3403+(A268*1.00478527)+(B268*31.2531946)+(C268*-114994.58)+(D268*908.742526)+(E268*2836.50299)+(F268*-3518.8948)+(G268*22177.7478)+(H268*23748.7981)</f>
        <v>617870.82949309819</v>
      </c>
      <c r="O268">
        <f>I268-N268</f>
        <v>47724.11050690175</v>
      </c>
      <c r="P268">
        <f>O268^2</f>
        <v>2277590723.6749701</v>
      </c>
    </row>
    <row r="269" spans="1:16">
      <c r="A269" s="3">
        <v>51430.31</v>
      </c>
      <c r="B269" s="3">
        <v>6427</v>
      </c>
      <c r="C269" s="3">
        <v>0.23400000000000001</v>
      </c>
      <c r="D269" s="3">
        <v>14</v>
      </c>
      <c r="E269" s="3">
        <v>88.8</v>
      </c>
      <c r="F269" s="3">
        <v>0.77</v>
      </c>
      <c r="G269" s="3">
        <v>0</v>
      </c>
      <c r="H269" s="3">
        <v>4.0999999999999996</v>
      </c>
      <c r="I269" s="3">
        <v>715890.53</v>
      </c>
      <c r="J269">
        <v>0</v>
      </c>
      <c r="K269">
        <v>0</v>
      </c>
      <c r="L269">
        <v>0</v>
      </c>
      <c r="M269">
        <v>0</v>
      </c>
      <c r="N269">
        <f>80932.3403+(A269*1.00478527)+(B269*31.2531946)+(C269*-114994.58)+(D269*908.742526)+(E269*2836.50299)+(F269*-3518.8948)+(G269*22177.7478)+(H269*23748.7981)</f>
        <v>665828.69228373375</v>
      </c>
      <c r="O269">
        <f>I269-N269</f>
        <v>50061.83771626628</v>
      </c>
      <c r="P269">
        <f>O269^2</f>
        <v>2506187595.5297809</v>
      </c>
    </row>
    <row r="270" spans="1:16">
      <c r="A270" s="3">
        <v>75412.740000000005</v>
      </c>
      <c r="B270" s="3">
        <v>5641</v>
      </c>
      <c r="C270" s="3">
        <v>5.8999999999999997E-2</v>
      </c>
      <c r="D270" s="3">
        <v>13</v>
      </c>
      <c r="E270" s="3">
        <v>87.9</v>
      </c>
      <c r="F270" s="3">
        <v>0.84</v>
      </c>
      <c r="G270" s="3">
        <v>0</v>
      </c>
      <c r="H270" s="3">
        <v>3.6</v>
      </c>
      <c r="I270" s="3">
        <v>720079.54</v>
      </c>
      <c r="J270">
        <v>0</v>
      </c>
      <c r="K270">
        <v>1</v>
      </c>
      <c r="L270">
        <v>0</v>
      </c>
      <c r="M270">
        <v>0</v>
      </c>
      <c r="N270">
        <f>80932.3403+(A270*1.00478527)+(B270*31.2531946)+(C270*-114994.58)+(D270*908.742526)+(E270*2836.50299)+(F270*-3518.8948)+(G270*22177.7478)+(H270*23748.7981)</f>
        <v>669902.60832793987</v>
      </c>
      <c r="O270">
        <f>I270-N270</f>
        <v>50176.931672060164</v>
      </c>
      <c r="P270">
        <f>O270^2</f>
        <v>2517724472.0225945</v>
      </c>
    </row>
    <row r="271" spans="1:16">
      <c r="A271" s="3">
        <v>60628.38</v>
      </c>
      <c r="B271" s="3">
        <v>4451</v>
      </c>
      <c r="C271" s="3">
        <v>9.5000000000000001E-2</v>
      </c>
      <c r="D271" s="3">
        <v>10</v>
      </c>
      <c r="E271" s="3">
        <v>89.6</v>
      </c>
      <c r="F271" s="3">
        <v>3.17</v>
      </c>
      <c r="G271" s="3">
        <v>0</v>
      </c>
      <c r="H271" s="3">
        <v>4.5999999999999996</v>
      </c>
      <c r="I271" s="3">
        <v>682208.01</v>
      </c>
      <c r="J271">
        <v>0</v>
      </c>
      <c r="K271">
        <v>0</v>
      </c>
      <c r="L271">
        <v>1</v>
      </c>
      <c r="M271">
        <v>0</v>
      </c>
      <c r="N271">
        <f>80932.3403+(A271*1.00478527)+(B271*31.2531946)+(C271*-114994.58)+(D271*908.742526)+(E271*2836.50299)+(F271*-3518.8948)+(G271*22177.7478)+(H271*23748.7981)</f>
        <v>631361.9954405626</v>
      </c>
      <c r="O271">
        <f>I271-N271</f>
        <v>50846.014559437404</v>
      </c>
      <c r="P271">
        <f>O271^2</f>
        <v>2585317196.5785203</v>
      </c>
    </row>
    <row r="272" spans="1:16">
      <c r="A272" s="3">
        <v>69779</v>
      </c>
      <c r="B272" s="3">
        <v>6544</v>
      </c>
      <c r="C272" s="3">
        <v>0.152</v>
      </c>
      <c r="D272" s="3">
        <v>18</v>
      </c>
      <c r="E272" s="3">
        <v>90.2</v>
      </c>
      <c r="F272" s="3">
        <v>0.85</v>
      </c>
      <c r="G272" s="3">
        <v>1</v>
      </c>
      <c r="H272" s="3">
        <v>3.3</v>
      </c>
      <c r="I272" s="3">
        <v>758827.64</v>
      </c>
      <c r="J272">
        <v>0</v>
      </c>
      <c r="K272">
        <v>1</v>
      </c>
      <c r="L272">
        <v>0</v>
      </c>
      <c r="M272">
        <v>0</v>
      </c>
      <c r="N272">
        <f>80932.3403+(A272*1.00478527)+(B272*31.2531946)+(C272*-114994.58)+(D272*908.742526)+(E272*2836.50299)+(F272*-3518.8948)+(G272*22177.7478)+(H272*23748.7981)</f>
        <v>707854.63707373</v>
      </c>
      <c r="O272">
        <f>I272-N272</f>
        <v>50973.002926270012</v>
      </c>
      <c r="P272">
        <f>O272^2</f>
        <v>2598247027.3215313</v>
      </c>
    </row>
    <row r="273" spans="1:16">
      <c r="A273" s="3">
        <v>69411.7</v>
      </c>
      <c r="B273" s="3">
        <v>5493</v>
      </c>
      <c r="C273" s="3">
        <v>0.29199999999999998</v>
      </c>
      <c r="D273" s="3">
        <v>13</v>
      </c>
      <c r="E273" s="3">
        <v>86.5</v>
      </c>
      <c r="F273" s="3">
        <v>6.69</v>
      </c>
      <c r="G273" s="3">
        <v>0</v>
      </c>
      <c r="H273" s="3">
        <v>3.8</v>
      </c>
      <c r="I273" s="3">
        <v>664162.49</v>
      </c>
      <c r="J273">
        <v>0</v>
      </c>
      <c r="K273">
        <v>0</v>
      </c>
      <c r="L273">
        <v>1</v>
      </c>
      <c r="M273">
        <v>0</v>
      </c>
      <c r="N273">
        <f>80932.3403+(A273*1.00478527)+(B273*31.2531946)+(C273*-114994.58)+(D273*908.742526)+(E273*2836.50299)+(F273*-3518.8948)+(G273*22177.7478)+(H273*23748.7981)</f>
        <v>612646.76264445891</v>
      </c>
      <c r="O273">
        <f>I273-N273</f>
        <v>51515.727355541079</v>
      </c>
      <c r="P273">
        <f>O273^2</f>
        <v>2653870164.9704432</v>
      </c>
    </row>
    <row r="274" spans="1:16">
      <c r="A274" s="3">
        <v>74954.47</v>
      </c>
      <c r="B274" s="3">
        <v>6620</v>
      </c>
      <c r="C274" s="3">
        <v>5.3999999999999999E-2</v>
      </c>
      <c r="D274" s="3">
        <v>17</v>
      </c>
      <c r="E274" s="3">
        <v>91.1</v>
      </c>
      <c r="F274" s="3">
        <v>1.1100000000000001</v>
      </c>
      <c r="G274" s="3">
        <v>0</v>
      </c>
      <c r="H274" s="3">
        <v>3.5</v>
      </c>
      <c r="I274" s="3">
        <v>761860.19</v>
      </c>
      <c r="J274">
        <v>0</v>
      </c>
      <c r="K274">
        <v>1</v>
      </c>
      <c r="L274">
        <v>0</v>
      </c>
      <c r="M274">
        <v>0</v>
      </c>
      <c r="N274">
        <f>80932.3403+(A274*1.00478527)+(B274*31.2531946)+(C274*-114994.58)+(D274*908.742526)+(E274*2836.50299)+(F274*-3518.8948)+(G274*22177.7478)+(H274*23748.7981)</f>
        <v>710000.79406165681</v>
      </c>
      <c r="O274">
        <f>I274-N274</f>
        <v>51859.395938343136</v>
      </c>
      <c r="P274">
        <f>O274^2</f>
        <v>2689396947.0898404</v>
      </c>
    </row>
    <row r="275" spans="1:16">
      <c r="A275" s="3">
        <v>50198.12</v>
      </c>
      <c r="B275" s="3">
        <v>6089</v>
      </c>
      <c r="C275" s="3">
        <v>0.182</v>
      </c>
      <c r="D275" s="3">
        <v>19</v>
      </c>
      <c r="E275" s="3">
        <v>94</v>
      </c>
      <c r="F275" s="3">
        <v>9.6999999999999993</v>
      </c>
      <c r="G275" s="3">
        <v>0</v>
      </c>
      <c r="H275" s="3">
        <v>3.9</v>
      </c>
      <c r="I275" s="3">
        <v>695098.51</v>
      </c>
      <c r="J275">
        <v>0</v>
      </c>
      <c r="K275">
        <v>0</v>
      </c>
      <c r="L275">
        <v>0</v>
      </c>
      <c r="M275">
        <v>0</v>
      </c>
      <c r="N275">
        <f>80932.3403+(A275*1.00478527)+(B275*31.2531946)+(C275*-114994.58)+(D275*908.742526)+(E275*2836.50299)+(F275*-3518.8948)+(G275*22177.7478)+(H275*23748.7981)</f>
        <v>643126.78230109252</v>
      </c>
      <c r="O275">
        <f>I275-N275</f>
        <v>51971.727698907489</v>
      </c>
      <c r="P275">
        <f>O275^2</f>
        <v>2701060480.009388</v>
      </c>
    </row>
    <row r="276" spans="1:16">
      <c r="A276" s="3">
        <v>75109.67</v>
      </c>
      <c r="B276" s="3">
        <v>6244</v>
      </c>
      <c r="C276" s="3">
        <v>7.9000000000000001E-2</v>
      </c>
      <c r="D276" s="3">
        <v>15</v>
      </c>
      <c r="E276" s="3">
        <v>96.3</v>
      </c>
      <c r="F276" s="3">
        <v>7.38</v>
      </c>
      <c r="G276" s="3">
        <v>0</v>
      </c>
      <c r="H276" s="3">
        <v>3.7</v>
      </c>
      <c r="I276" s="3">
        <v>743348.84</v>
      </c>
      <c r="J276">
        <v>0</v>
      </c>
      <c r="K276">
        <v>1</v>
      </c>
      <c r="L276">
        <v>0</v>
      </c>
      <c r="M276">
        <v>0</v>
      </c>
      <c r="N276">
        <f>80932.3403+(A276*1.00478527)+(B276*31.2531946)+(C276*-114994.58)+(D276*908.742526)+(E276*2836.50299)+(F276*-3518.8948)+(G276*22177.7478)+(H276*23748.7981)</f>
        <v>691149.29078596085</v>
      </c>
      <c r="O276">
        <f>I276-N276</f>
        <v>52199.549214039114</v>
      </c>
      <c r="P276">
        <f>O276^2</f>
        <v>2724792938.1488914</v>
      </c>
    </row>
    <row r="277" spans="1:16">
      <c r="A277" s="3">
        <v>56737.3</v>
      </c>
      <c r="B277" s="3">
        <v>8300</v>
      </c>
      <c r="C277" s="3">
        <v>3.2000000000000001E-2</v>
      </c>
      <c r="D277" s="3">
        <v>21</v>
      </c>
      <c r="E277" s="3">
        <v>83.2</v>
      </c>
      <c r="F277" s="3">
        <v>3.44</v>
      </c>
      <c r="G277" s="3">
        <v>1</v>
      </c>
      <c r="H277" s="3">
        <v>4.3</v>
      </c>
      <c r="I277" s="3">
        <v>813316.71</v>
      </c>
      <c r="J277">
        <v>0</v>
      </c>
      <c r="K277">
        <v>0</v>
      </c>
      <c r="L277">
        <v>0</v>
      </c>
      <c r="M277">
        <v>0</v>
      </c>
      <c r="N277">
        <f>80932.3403+(A277*1.00478527)+(B277*31.2531946)+(C277*-114994.58)+(D277*908.742526)+(E277*2836.50299)+(F277*-3518.8948)+(G277*22177.7478)+(H277*23748.7981)</f>
        <v>760936.05555157107</v>
      </c>
      <c r="O277">
        <f>I277-N277</f>
        <v>52380.65444842889</v>
      </c>
      <c r="P277">
        <f>O277^2</f>
        <v>2743732960.445713</v>
      </c>
    </row>
    <row r="278" spans="1:16">
      <c r="A278" s="3">
        <v>38397.82</v>
      </c>
      <c r="B278" s="3">
        <v>7836</v>
      </c>
      <c r="C278" s="3">
        <v>7.0000000000000001E-3</v>
      </c>
      <c r="D278" s="3">
        <v>21</v>
      </c>
      <c r="E278" s="3">
        <v>92.2</v>
      </c>
      <c r="F278" s="3">
        <v>1.82</v>
      </c>
      <c r="G278" s="3">
        <v>0</v>
      </c>
      <c r="H278" s="3">
        <v>3.6</v>
      </c>
      <c r="I278" s="3">
        <v>776110.32</v>
      </c>
      <c r="J278">
        <v>0</v>
      </c>
      <c r="K278">
        <v>1</v>
      </c>
      <c r="L278">
        <v>1</v>
      </c>
      <c r="M278">
        <v>0</v>
      </c>
      <c r="N278">
        <f>80932.3403+(A278*1.00478527)+(B278*31.2531946)+(C278*-114994.58)+(D278*908.742526)+(E278*2836.50299)+(F278*-3518.8948)+(G278*22177.7478)+(H278*23748.7981)</f>
        <v>723309.42840971134</v>
      </c>
      <c r="O278">
        <f>I278-N278</f>
        <v>52800.891590288607</v>
      </c>
      <c r="P278">
        <f>O278^2</f>
        <v>2787934152.7294102</v>
      </c>
    </row>
    <row r="279" spans="1:16">
      <c r="A279" s="3">
        <v>75269.87</v>
      </c>
      <c r="B279" s="3">
        <v>8838</v>
      </c>
      <c r="C279" s="3">
        <v>9.1999999999999998E-2</v>
      </c>
      <c r="D279" s="3">
        <v>21</v>
      </c>
      <c r="E279" s="3">
        <v>83.1</v>
      </c>
      <c r="F279" s="3">
        <v>9.56</v>
      </c>
      <c r="G279" s="3">
        <v>1</v>
      </c>
      <c r="H279" s="3">
        <v>4.2</v>
      </c>
      <c r="I279" s="3">
        <v>820593.93</v>
      </c>
      <c r="J279">
        <v>1</v>
      </c>
      <c r="K279">
        <v>0</v>
      </c>
      <c r="L279">
        <v>1</v>
      </c>
      <c r="M279">
        <v>0</v>
      </c>
      <c r="N279">
        <f>80932.3403+(A279*1.00478527)+(B279*31.2531946)+(C279*-114994.58)+(D279*908.742526)+(E279*2836.50299)+(F279*-3518.8948)+(G279*22177.7478)+(H279*23748.7981)</f>
        <v>765277.68651261483</v>
      </c>
      <c r="O279">
        <f>I279-N279</f>
        <v>55316.243487385218</v>
      </c>
      <c r="P279">
        <f>O279^2</f>
        <v>3059886793.5556874</v>
      </c>
    </row>
    <row r="280" spans="1:16">
      <c r="A280" s="3">
        <v>51450.55</v>
      </c>
      <c r="B280" s="3">
        <v>4902</v>
      </c>
      <c r="C280" s="3">
        <v>8.5999999999999993E-2</v>
      </c>
      <c r="D280" s="3">
        <v>11</v>
      </c>
      <c r="E280" s="3">
        <v>83.7</v>
      </c>
      <c r="F280" s="3">
        <v>6.92</v>
      </c>
      <c r="G280" s="3">
        <v>1</v>
      </c>
      <c r="H280" s="3">
        <v>4.2</v>
      </c>
      <c r="I280" s="3">
        <v>677640.65</v>
      </c>
      <c r="J280">
        <v>0</v>
      </c>
      <c r="K280">
        <v>0</v>
      </c>
      <c r="L280">
        <v>0</v>
      </c>
      <c r="M280">
        <v>0</v>
      </c>
      <c r="N280">
        <f>80932.3403+(A280*1.00478527)+(B280*31.2531946)+(C280*-114994.58)+(D280*908.742526)+(E280*2836.50299)+(F280*-3518.8948)+(G280*22177.7478)+(H280*23748.7981)</f>
        <v>620926.13697559852</v>
      </c>
      <c r="O280">
        <f>I280-N280</f>
        <v>56714.513024401502</v>
      </c>
      <c r="P280">
        <f>O280^2</f>
        <v>3216535987.5950074</v>
      </c>
    </row>
    <row r="281" spans="1:16">
      <c r="A281" s="3">
        <v>61132.07</v>
      </c>
      <c r="B281" s="3">
        <v>6394</v>
      </c>
      <c r="C281" s="3">
        <v>0.16300000000000001</v>
      </c>
      <c r="D281" s="3">
        <v>19</v>
      </c>
      <c r="E281" s="3">
        <v>91</v>
      </c>
      <c r="F281" s="3">
        <v>19.600000000000001</v>
      </c>
      <c r="G281" s="3">
        <v>0</v>
      </c>
      <c r="H281" s="3">
        <v>4.4000000000000004</v>
      </c>
      <c r="I281" s="3">
        <v>691113.62</v>
      </c>
      <c r="J281">
        <v>0</v>
      </c>
      <c r="K281">
        <v>0</v>
      </c>
      <c r="L281">
        <v>1</v>
      </c>
      <c r="M281">
        <v>0</v>
      </c>
      <c r="N281">
        <f>80932.3403+(A281*1.00478527)+(B281*31.2531946)+(C281*-114994.58)+(D281*908.742526)+(E281*2836.50299)+(F281*-3518.8948)+(G281*22177.7478)+(H281*23748.7981)</f>
        <v>634358.00713700894</v>
      </c>
      <c r="O281">
        <f>I281-N281</f>
        <v>56755.612862991053</v>
      </c>
      <c r="P281">
        <f>O281^2</f>
        <v>3221199591.4537153</v>
      </c>
    </row>
    <row r="282" spans="1:16">
      <c r="A282" s="3">
        <v>69180.539999999994</v>
      </c>
      <c r="B282" s="3">
        <v>5394</v>
      </c>
      <c r="C282" s="3">
        <v>0.126</v>
      </c>
      <c r="D282" s="3">
        <v>12</v>
      </c>
      <c r="E282" s="3">
        <v>82.9</v>
      </c>
      <c r="F282" s="3">
        <v>3.27</v>
      </c>
      <c r="G282" s="3">
        <v>0</v>
      </c>
      <c r="H282" s="3">
        <v>3.3</v>
      </c>
      <c r="I282" s="3">
        <v>674289.1</v>
      </c>
      <c r="J282">
        <v>1</v>
      </c>
      <c r="K282">
        <v>0</v>
      </c>
      <c r="L282">
        <v>0</v>
      </c>
      <c r="M282">
        <v>0</v>
      </c>
      <c r="N282">
        <f>80932.3403+(A282*1.00478527)+(B282*31.2531946)+(C282*-114994.58)+(D282*908.742526)+(E282*2836.50299)+(F282*-3518.8948)+(G282*22177.7478)+(H282*23748.7981)</f>
        <v>617449.59837204567</v>
      </c>
      <c r="O282">
        <f>I282-N282</f>
        <v>56839.501627954305</v>
      </c>
      <c r="P282">
        <f>O282^2</f>
        <v>3230728945.31422</v>
      </c>
    </row>
    <row r="283" spans="1:16">
      <c r="A283" s="3">
        <v>99874.01</v>
      </c>
      <c r="B283" s="3">
        <v>5887</v>
      </c>
      <c r="C283" s="3">
        <v>0.26200000000000001</v>
      </c>
      <c r="D283" s="3">
        <v>14</v>
      </c>
      <c r="E283" s="3">
        <v>88.7</v>
      </c>
      <c r="F283" s="3">
        <v>6.18</v>
      </c>
      <c r="G283" s="3">
        <v>0</v>
      </c>
      <c r="H283" s="3">
        <v>4.7</v>
      </c>
      <c r="I283" s="3">
        <v>746677.75</v>
      </c>
      <c r="J283">
        <v>0</v>
      </c>
      <c r="K283">
        <v>0</v>
      </c>
      <c r="L283">
        <v>0</v>
      </c>
      <c r="M283">
        <v>0</v>
      </c>
      <c r="N283">
        <f>80932.3403+(A283*1.00478527)+(B283*31.2531946)+(C283*-114994.58)+(D283*908.742526)+(E283*2836.50299)+(F283*-3518.8948)+(G283*22177.7478)+(H283*23748.7981)</f>
        <v>689336.04283703258</v>
      </c>
      <c r="O283">
        <f>I283-N283</f>
        <v>57341.707162967417</v>
      </c>
      <c r="P283">
        <f>O283^2</f>
        <v>3288071380.3635087</v>
      </c>
    </row>
    <row r="284" spans="1:16">
      <c r="A284" s="3">
        <v>54300.87</v>
      </c>
      <c r="B284" s="3">
        <v>7875</v>
      </c>
      <c r="C284" s="3">
        <v>0.107</v>
      </c>
      <c r="D284" s="3">
        <v>19</v>
      </c>
      <c r="E284" s="3">
        <v>94.1</v>
      </c>
      <c r="F284" s="3">
        <v>0.95</v>
      </c>
      <c r="G284" s="3">
        <v>0</v>
      </c>
      <c r="H284" s="3">
        <v>3.7</v>
      </c>
      <c r="I284" s="3">
        <v>795464.47</v>
      </c>
      <c r="J284">
        <v>0</v>
      </c>
      <c r="K284">
        <v>0</v>
      </c>
      <c r="L284">
        <v>1</v>
      </c>
      <c r="M284">
        <v>0</v>
      </c>
      <c r="N284">
        <f>80932.3403+(A284*1.00478527)+(B284*31.2531946)+(C284*-114994.58)+(D284*908.742526)+(E284*2836.50299)+(F284*-3518.8948)+(G284*22177.7478)+(H284*23748.7981)</f>
        <v>738016.18430218496</v>
      </c>
      <c r="O284">
        <f>I284-N284</f>
        <v>57448.285697815008</v>
      </c>
      <c r="P284">
        <f>O284^2</f>
        <v>3300305529.6177764</v>
      </c>
    </row>
    <row r="285" spans="1:16">
      <c r="A285" s="3">
        <v>72961.95</v>
      </c>
      <c r="B285" s="3">
        <v>9996</v>
      </c>
      <c r="C285" s="3">
        <v>0.106</v>
      </c>
      <c r="D285" s="3">
        <v>22</v>
      </c>
      <c r="E285" s="3">
        <v>89.1</v>
      </c>
      <c r="F285" s="3">
        <v>15.66</v>
      </c>
      <c r="G285" s="3">
        <v>0</v>
      </c>
      <c r="H285" s="3">
        <v>3.4</v>
      </c>
      <c r="I285" s="3">
        <v>810355.02</v>
      </c>
      <c r="J285">
        <v>0</v>
      </c>
      <c r="K285">
        <v>0</v>
      </c>
      <c r="L285">
        <v>1</v>
      </c>
      <c r="M285">
        <v>0</v>
      </c>
      <c r="N285">
        <f>80932.3403+(A285*1.00478527)+(B285*31.2531946)+(C285*-114994.58)+(D285*908.742526)+(E285*2836.50299)+(F285*-3518.8948)+(G285*22177.7478)+(H285*23748.7981)</f>
        <v>752825.71362507646</v>
      </c>
      <c r="O285">
        <f>I285-N285</f>
        <v>57529.306374923559</v>
      </c>
      <c r="P285">
        <f>O285^2</f>
        <v>3309621091.9798203</v>
      </c>
    </row>
    <row r="286" spans="1:16">
      <c r="A286" s="3">
        <v>65272.58</v>
      </c>
      <c r="B286" s="3">
        <v>8165</v>
      </c>
      <c r="C286" s="3">
        <v>5.0999999999999997E-2</v>
      </c>
      <c r="D286" s="3">
        <v>19</v>
      </c>
      <c r="E286" s="3">
        <v>87.8</v>
      </c>
      <c r="F286" s="3">
        <v>1.26</v>
      </c>
      <c r="G286" s="3">
        <v>1</v>
      </c>
      <c r="H286" s="3">
        <v>4.3</v>
      </c>
      <c r="I286" s="3">
        <v>840108.12</v>
      </c>
      <c r="J286">
        <v>0</v>
      </c>
      <c r="K286">
        <v>1</v>
      </c>
      <c r="L286">
        <v>1</v>
      </c>
      <c r="M286">
        <v>0</v>
      </c>
      <c r="N286">
        <f>80932.3403+(A286*1.00478527)+(B286*31.2531946)+(C286*-114994.58)+(D286*908.742526)+(E286*2836.50299)+(F286*-3518.8948)+(G286*22177.7478)+(H286*23748.7981)</f>
        <v>782009.72024589672</v>
      </c>
      <c r="O286">
        <f>I286-N286</f>
        <v>58098.399754103273</v>
      </c>
      <c r="P286">
        <f>O286^2</f>
        <v>3375424053.9875875</v>
      </c>
    </row>
    <row r="287" spans="1:16">
      <c r="A287" s="3">
        <v>57919.07</v>
      </c>
      <c r="B287" s="3">
        <v>7374</v>
      </c>
      <c r="C287" s="3">
        <v>0.10299999999999999</v>
      </c>
      <c r="D287" s="3">
        <v>21</v>
      </c>
      <c r="E287" s="3">
        <v>82.3</v>
      </c>
      <c r="F287" s="3">
        <v>2.87</v>
      </c>
      <c r="G287" s="3">
        <v>0</v>
      </c>
      <c r="H287" s="3">
        <v>2.9</v>
      </c>
      <c r="I287" s="3">
        <v>727227.2</v>
      </c>
      <c r="J287">
        <v>0</v>
      </c>
      <c r="K287">
        <v>0</v>
      </c>
      <c r="L287">
        <v>0</v>
      </c>
      <c r="M287">
        <v>0</v>
      </c>
      <c r="N287">
        <f>80932.3403+(A287*1.00478527)+(B287*31.2531946)+(C287*-114994.58)+(D287*908.742526)+(E287*2836.50299)+(F287*-3518.8948)+(G287*22177.7478)+(H287*23748.7981)</f>
        <v>669045.25946549885</v>
      </c>
      <c r="O287">
        <f>I287-N287</f>
        <v>58181.940534501104</v>
      </c>
      <c r="P287">
        <f>O287^2</f>
        <v>3385138204.3602223</v>
      </c>
    </row>
    <row r="288" spans="1:16">
      <c r="A288" s="3">
        <v>72150.53</v>
      </c>
      <c r="B288" s="3">
        <v>9323</v>
      </c>
      <c r="C288" s="3">
        <v>0.157</v>
      </c>
      <c r="D288" s="3">
        <v>22</v>
      </c>
      <c r="E288" s="3">
        <v>82.9</v>
      </c>
      <c r="F288" s="3">
        <v>11.37</v>
      </c>
      <c r="G288" s="3">
        <v>1</v>
      </c>
      <c r="H288" s="3">
        <v>4.3</v>
      </c>
      <c r="I288" s="3">
        <v>825797.91</v>
      </c>
      <c r="J288">
        <v>1</v>
      </c>
      <c r="K288">
        <v>0</v>
      </c>
      <c r="L288">
        <v>1</v>
      </c>
      <c r="M288">
        <v>0</v>
      </c>
      <c r="N288">
        <f>80932.3403+(A288*1.00478527)+(B288*31.2531946)+(C288*-114994.58)+(D288*908.742526)+(E288*2836.50299)+(F288*-3518.8948)+(G288*22177.7478)+(H288*23748.7981)</f>
        <v>766173.69345949311</v>
      </c>
      <c r="O288">
        <f>I288-N288</f>
        <v>59624.216540506925</v>
      </c>
      <c r="P288">
        <f>O288^2</f>
        <v>3555047198.0692596</v>
      </c>
    </row>
    <row r="289" spans="1:16">
      <c r="A289" s="3">
        <v>61541.21</v>
      </c>
      <c r="B289" s="3">
        <v>10396</v>
      </c>
      <c r="C289" s="3">
        <v>0.123</v>
      </c>
      <c r="D289" s="3">
        <v>25</v>
      </c>
      <c r="E289" s="3">
        <v>88.1</v>
      </c>
      <c r="F289" s="3">
        <v>2.34</v>
      </c>
      <c r="G289" s="3">
        <v>1</v>
      </c>
      <c r="H289" s="3">
        <v>4.8</v>
      </c>
      <c r="I289" s="3">
        <v>914544.17</v>
      </c>
      <c r="J289">
        <v>0</v>
      </c>
      <c r="K289">
        <v>1</v>
      </c>
      <c r="L289">
        <v>0</v>
      </c>
      <c r="M289">
        <v>0</v>
      </c>
      <c r="N289">
        <f>80932.3403+(A289*1.00478527)+(B289*31.2531946)+(C289*-114994.58)+(D289*908.742526)+(E289*2836.50299)+(F289*-3518.8948)+(G289*22177.7478)+(H289*23748.7981)</f>
        <v>854084.16074457671</v>
      </c>
      <c r="O289">
        <f>I289-N289</f>
        <v>60460.009255423327</v>
      </c>
      <c r="P289">
        <f>O289^2</f>
        <v>3655412719.1658745</v>
      </c>
    </row>
    <row r="290" spans="1:16">
      <c r="A290" s="3">
        <v>70937.240000000005</v>
      </c>
      <c r="B290" s="3">
        <v>3595</v>
      </c>
      <c r="C290" s="3">
        <v>0.14099999999999999</v>
      </c>
      <c r="D290" s="3">
        <v>11</v>
      </c>
      <c r="E290" s="3">
        <v>88.9</v>
      </c>
      <c r="F290" s="3">
        <v>2.83</v>
      </c>
      <c r="G290" s="3">
        <v>1</v>
      </c>
      <c r="H290" s="3">
        <v>3.3</v>
      </c>
      <c r="I290" s="3">
        <v>661927.14</v>
      </c>
      <c r="J290">
        <v>0</v>
      </c>
      <c r="K290">
        <v>0</v>
      </c>
      <c r="L290">
        <v>0</v>
      </c>
      <c r="M290">
        <v>0</v>
      </c>
      <c r="N290">
        <f>80932.3403+(A290*1.00478527)+(B290*31.2531946)+(C290*-114994.58)+(D290*908.742526)+(E290*2836.50299)+(F290*-3518.8948)+(G290*22177.7478)+(H290*23748.7981)</f>
        <v>601101.62579645484</v>
      </c>
      <c r="O290">
        <f>I290-N290</f>
        <v>60825.514203545172</v>
      </c>
      <c r="P290">
        <f>O290^2</f>
        <v>3699743178.1256752</v>
      </c>
    </row>
    <row r="291" spans="1:16">
      <c r="A291" s="3">
        <v>61391.8</v>
      </c>
      <c r="B291" s="3">
        <v>5575</v>
      </c>
      <c r="C291" s="3">
        <v>0.189</v>
      </c>
      <c r="D291" s="3">
        <v>18</v>
      </c>
      <c r="E291" s="3">
        <v>90</v>
      </c>
      <c r="F291" s="3">
        <v>1.8</v>
      </c>
      <c r="G291" s="3">
        <v>0</v>
      </c>
      <c r="H291" s="3">
        <v>4.8</v>
      </c>
      <c r="I291" s="3">
        <v>735786.64</v>
      </c>
      <c r="J291">
        <v>1</v>
      </c>
      <c r="K291">
        <v>0</v>
      </c>
      <c r="L291">
        <v>0</v>
      </c>
      <c r="M291">
        <v>0</v>
      </c>
      <c r="N291">
        <f>80932.3403+(A291*1.00478527)+(B291*31.2531946)+(C291*-114994.58)+(D291*908.742526)+(E291*2836.50299)+(F291*-3518.8948)+(G291*22177.7478)+(H291*23748.7981)</f>
        <v>674423.35572178615</v>
      </c>
      <c r="O291">
        <f>I291-N291</f>
        <v>61363.284278213861</v>
      </c>
      <c r="P291">
        <f>O291^2</f>
        <v>3765452657.4088883</v>
      </c>
    </row>
    <row r="292" spans="1:16">
      <c r="A292" s="3">
        <v>54872.82</v>
      </c>
      <c r="B292" s="3">
        <v>5962</v>
      </c>
      <c r="C292" s="3">
        <v>6.4000000000000001E-2</v>
      </c>
      <c r="D292" s="3">
        <v>12</v>
      </c>
      <c r="E292" s="3">
        <v>85.4</v>
      </c>
      <c r="F292" s="3">
        <v>2.58</v>
      </c>
      <c r="G292" s="3">
        <v>0</v>
      </c>
      <c r="H292" s="3">
        <v>2.9</v>
      </c>
      <c r="I292" s="3">
        <v>691112.6</v>
      </c>
      <c r="J292">
        <v>0</v>
      </c>
      <c r="K292">
        <v>1</v>
      </c>
      <c r="L292">
        <v>0</v>
      </c>
      <c r="M292">
        <v>0</v>
      </c>
      <c r="N292">
        <f>80932.3403+(A292*1.00478527)+(B292*31.2531946)+(C292*-114994.58)+(D292*908.742526)+(E292*2836.50299)+(F292*-3518.8948)+(G292*22177.7478)+(H292*23748.7981)</f>
        <v>627974.66620856139</v>
      </c>
      <c r="O292">
        <f>I292-N292</f>
        <v>63137.933791438583</v>
      </c>
      <c r="P292">
        <f>O292^2</f>
        <v>3986398683.4520822</v>
      </c>
    </row>
    <row r="293" spans="1:16">
      <c r="A293" s="3">
        <v>31997.25</v>
      </c>
      <c r="B293" s="3">
        <v>8183</v>
      </c>
      <c r="C293" s="3">
        <v>0.19800000000000001</v>
      </c>
      <c r="D293" s="3">
        <v>18</v>
      </c>
      <c r="E293" s="3">
        <v>93</v>
      </c>
      <c r="F293" s="3">
        <v>2.79</v>
      </c>
      <c r="G293" s="3">
        <v>0</v>
      </c>
      <c r="H293" s="3">
        <v>4.2</v>
      </c>
      <c r="I293" s="3">
        <v>780580.95</v>
      </c>
      <c r="J293">
        <v>1</v>
      </c>
      <c r="K293">
        <v>0</v>
      </c>
      <c r="L293">
        <v>1</v>
      </c>
      <c r="M293">
        <v>0</v>
      </c>
      <c r="N293">
        <f>80932.3403+(A293*1.00478527)+(B293*31.2531946)+(C293*-114994.58)+(D293*908.742526)+(E293*2836.50299)+(F293*-3518.8948)+(G293*22177.7478)+(H293*23748.7981)</f>
        <v>716138.04941830738</v>
      </c>
      <c r="O293">
        <f>I293-N293</f>
        <v>64442.900581692578</v>
      </c>
      <c r="P293">
        <f>O293^2</f>
        <v>4152887435.3819137</v>
      </c>
    </row>
    <row r="294" spans="1:16">
      <c r="A294" s="3">
        <v>74907.98</v>
      </c>
      <c r="B294" s="3">
        <v>5306</v>
      </c>
      <c r="C294" s="3">
        <v>6.2E-2</v>
      </c>
      <c r="D294" s="3">
        <v>16</v>
      </c>
      <c r="E294" s="3">
        <v>95.6</v>
      </c>
      <c r="F294" s="3">
        <v>1.02</v>
      </c>
      <c r="G294" s="3">
        <v>0</v>
      </c>
      <c r="H294" s="3">
        <v>3.7</v>
      </c>
      <c r="I294" s="3">
        <v>749559.71</v>
      </c>
      <c r="J294">
        <v>0</v>
      </c>
      <c r="K294">
        <v>1</v>
      </c>
      <c r="L294">
        <v>0</v>
      </c>
      <c r="M294">
        <v>0</v>
      </c>
      <c r="N294">
        <f>80932.3403+(A294*1.00478527)+(B294*31.2531946)+(C294*-114994.58)+(D294*908.742526)+(E294*2836.50299)+(F294*-3518.8948)+(G294*22177.7478)+(H294*23748.7981)</f>
        <v>684889.40833105461</v>
      </c>
      <c r="O294">
        <f>I294-N294</f>
        <v>64670.301668945351</v>
      </c>
      <c r="P294">
        <f>O294^2</f>
        <v>4182247917.9523959</v>
      </c>
    </row>
    <row r="295" spans="1:16">
      <c r="A295" s="3">
        <v>32266.639999999999</v>
      </c>
      <c r="B295" s="3">
        <v>2414</v>
      </c>
      <c r="C295" s="3">
        <v>0.08</v>
      </c>
      <c r="D295" s="3">
        <v>7</v>
      </c>
      <c r="E295" s="3">
        <v>92.1</v>
      </c>
      <c r="F295" s="3">
        <v>1.48</v>
      </c>
      <c r="G295" s="3">
        <v>0</v>
      </c>
      <c r="H295" s="3">
        <v>5</v>
      </c>
      <c r="I295" s="3">
        <v>625514.04</v>
      </c>
      <c r="J295">
        <v>0</v>
      </c>
      <c r="K295">
        <v>0</v>
      </c>
      <c r="L295">
        <v>1</v>
      </c>
      <c r="M295">
        <v>0</v>
      </c>
      <c r="N295">
        <f>80932.3403+(A295*1.00478527)+(B295*31.2531946)+(C295*-114994.58)+(D295*908.742526)+(E295*2836.50299)+(F295*-3518.8948)+(G295*22177.7478)+(H295*23748.7981)</f>
        <v>560738.17950579268</v>
      </c>
      <c r="O295">
        <f>I295-N295</f>
        <v>64775.860494207358</v>
      </c>
      <c r="P295">
        <f>O295^2</f>
        <v>4195912102.7650137</v>
      </c>
    </row>
    <row r="296" spans="1:16">
      <c r="A296" s="3">
        <v>68148.52</v>
      </c>
      <c r="B296" s="3">
        <v>8567</v>
      </c>
      <c r="C296" s="3">
        <v>0.127</v>
      </c>
      <c r="D296" s="3">
        <v>23</v>
      </c>
      <c r="E296" s="3">
        <v>95.6</v>
      </c>
      <c r="F296" s="3">
        <v>0.8</v>
      </c>
      <c r="G296" s="3">
        <v>0</v>
      </c>
      <c r="H296" s="3">
        <v>3.9</v>
      </c>
      <c r="I296" s="3">
        <v>850164.26</v>
      </c>
      <c r="J296">
        <v>0</v>
      </c>
      <c r="K296">
        <v>0</v>
      </c>
      <c r="L296">
        <v>0</v>
      </c>
      <c r="M296">
        <v>0</v>
      </c>
      <c r="N296">
        <f>80932.3403+(A296*1.00478527)+(B296*31.2531946)+(C296*-114994.58)+(D296*908.742526)+(E296*2836.50299)+(F296*-3518.8948)+(G296*22177.7478)+(H296*23748.7981)</f>
        <v>784424.73653850041</v>
      </c>
      <c r="O296">
        <f>I296-N296</f>
        <v>65739.523461499601</v>
      </c>
      <c r="P296">
        <f>O296^2</f>
        <v>4321684944.9450569</v>
      </c>
    </row>
    <row r="297" spans="1:16">
      <c r="A297" s="3">
        <v>61426.04</v>
      </c>
      <c r="B297" s="3">
        <v>8966</v>
      </c>
      <c r="C297" s="3">
        <v>0.17299999999999999</v>
      </c>
      <c r="D297" s="3">
        <v>22</v>
      </c>
      <c r="E297" s="3">
        <v>76.400000000000006</v>
      </c>
      <c r="F297" s="3">
        <v>1.05</v>
      </c>
      <c r="G297" s="3">
        <v>0</v>
      </c>
      <c r="H297" s="3">
        <v>3.1</v>
      </c>
      <c r="I297" s="3">
        <v>778397.97</v>
      </c>
      <c r="J297">
        <v>0</v>
      </c>
      <c r="K297">
        <v>0</v>
      </c>
      <c r="L297">
        <v>1</v>
      </c>
      <c r="M297">
        <v>0</v>
      </c>
      <c r="N297">
        <f>80932.3403+(A297*1.00478527)+(B297*31.2531946)+(C297*-114994.58)+(D297*908.742526)+(E297*2836.50299)+(F297*-3518.8948)+(G297*22177.7478)+(H297*23748.7981)</f>
        <v>709601.99950803083</v>
      </c>
      <c r="O297">
        <f>I297-N297</f>
        <v>68795.970491969143</v>
      </c>
      <c r="P297">
        <f>O297^2</f>
        <v>4732885555.9318886</v>
      </c>
    </row>
    <row r="298" spans="1:16">
      <c r="A298" s="3">
        <v>58785.33</v>
      </c>
      <c r="B298" s="3">
        <v>4467</v>
      </c>
      <c r="C298" s="3">
        <v>0.22900000000000001</v>
      </c>
      <c r="D298" s="3">
        <v>14</v>
      </c>
      <c r="E298" s="3">
        <v>90.7</v>
      </c>
      <c r="F298" s="3">
        <v>1.92</v>
      </c>
      <c r="G298" s="3">
        <v>0</v>
      </c>
      <c r="H298" s="3">
        <v>3.7</v>
      </c>
      <c r="I298" s="3">
        <v>673348.56</v>
      </c>
      <c r="J298">
        <v>1</v>
      </c>
      <c r="K298">
        <v>0</v>
      </c>
      <c r="L298">
        <v>0</v>
      </c>
      <c r="M298">
        <v>0</v>
      </c>
      <c r="N298">
        <f>80932.3403+(A298*1.00478527)+(B298*31.2531946)+(C298*-114994.58)+(D298*908.742526)+(E298*2836.50299)+(F298*-3518.8948)+(G298*22177.7478)+(H298*23748.7981)</f>
        <v>604380.72694528906</v>
      </c>
      <c r="O298">
        <f>I298-N298</f>
        <v>68967.833054710994</v>
      </c>
      <c r="P298">
        <f>O298^2</f>
        <v>4756561996.2624865</v>
      </c>
    </row>
    <row r="299" spans="1:16">
      <c r="A299" s="3">
        <v>80176.34</v>
      </c>
      <c r="B299" s="3">
        <v>9489</v>
      </c>
      <c r="C299" s="3">
        <v>0.14199999999999999</v>
      </c>
      <c r="D299" s="3">
        <v>22</v>
      </c>
      <c r="E299" s="3">
        <v>94.3</v>
      </c>
      <c r="F299" s="3">
        <v>2.67</v>
      </c>
      <c r="G299" s="3">
        <v>0</v>
      </c>
      <c r="H299" s="3">
        <v>3.5</v>
      </c>
      <c r="I299" s="3">
        <v>873380.02</v>
      </c>
      <c r="J299">
        <v>0</v>
      </c>
      <c r="K299">
        <v>0</v>
      </c>
      <c r="L299">
        <v>1</v>
      </c>
      <c r="M299">
        <v>0</v>
      </c>
      <c r="N299">
        <f>80932.3403+(A299*1.00478527)+(B299*31.2531946)+(C299*-114994.58)+(D299*908.742526)+(E299*2836.50299)+(F299*-3518.8948)+(G299*22177.7478)+(H299*23748.7981)</f>
        <v>802924.59069691179</v>
      </c>
      <c r="O299">
        <f>I299-N299</f>
        <v>70455.429303088225</v>
      </c>
      <c r="P299">
        <f>O299^2</f>
        <v>4963967518.2824631</v>
      </c>
    </row>
    <row r="300" spans="1:16">
      <c r="A300" s="3">
        <v>52715.1</v>
      </c>
      <c r="B300" s="3">
        <v>7223</v>
      </c>
      <c r="C300" s="3">
        <v>0.122</v>
      </c>
      <c r="D300" s="3">
        <v>16</v>
      </c>
      <c r="E300" s="3">
        <v>84.2</v>
      </c>
      <c r="F300" s="3">
        <v>16.149999999999999</v>
      </c>
      <c r="G300" s="3">
        <v>0</v>
      </c>
      <c r="H300" s="3">
        <v>3.7</v>
      </c>
      <c r="I300" s="3">
        <v>701641.97</v>
      </c>
      <c r="J300">
        <v>0</v>
      </c>
      <c r="K300">
        <v>0</v>
      </c>
      <c r="L300">
        <v>1</v>
      </c>
      <c r="M300">
        <v>0</v>
      </c>
      <c r="N300">
        <f>80932.3403+(A300*1.00478527)+(B300*31.2531946)+(C300*-114994.58)+(D300*908.742526)+(E300*2836.50299)+(F300*-3518.8948)+(G300*22177.7478)+(H300*23748.7981)</f>
        <v>630026.01624637691</v>
      </c>
      <c r="O300">
        <f>I300-N300</f>
        <v>71615.953753623064</v>
      </c>
      <c r="P300">
        <f>O300^2</f>
        <v>5128844832.0410776</v>
      </c>
    </row>
    <row r="301" spans="1:16">
      <c r="A301" s="3">
        <v>58688.26</v>
      </c>
      <c r="B301" s="3">
        <v>4022</v>
      </c>
      <c r="C301" s="3">
        <v>0.217</v>
      </c>
      <c r="D301" s="3">
        <v>12</v>
      </c>
      <c r="E301" s="3">
        <v>93.8</v>
      </c>
      <c r="F301" s="3">
        <v>11.78</v>
      </c>
      <c r="G301" s="3">
        <v>0</v>
      </c>
      <c r="H301" s="3">
        <v>3.7</v>
      </c>
      <c r="I301" s="3">
        <v>636613.23</v>
      </c>
      <c r="J301">
        <v>0</v>
      </c>
      <c r="K301">
        <v>0</v>
      </c>
      <c r="L301">
        <v>0</v>
      </c>
      <c r="M301">
        <v>0</v>
      </c>
      <c r="N301">
        <f>80932.3403+(A301*1.00478527)+(B301*31.2531946)+(C301*-114994.58)+(D301*908.742526)+(E301*2836.50299)+(F301*-3518.8948)+(G301*22177.7478)+(H301*23748.7981)</f>
        <v>564034.8272911302</v>
      </c>
      <c r="O301">
        <f>I301-N301</f>
        <v>72578.402708869777</v>
      </c>
      <c r="P301">
        <f>O301^2</f>
        <v>5267624539.7708759</v>
      </c>
    </row>
    <row r="302" spans="1:16">
      <c r="A302" s="3">
        <v>61650.79</v>
      </c>
      <c r="B302" s="3">
        <v>5321</v>
      </c>
      <c r="C302" s="3">
        <v>0.126</v>
      </c>
      <c r="D302" s="3">
        <v>17</v>
      </c>
      <c r="E302" s="3">
        <v>89.2</v>
      </c>
      <c r="F302" s="3">
        <v>2.13</v>
      </c>
      <c r="G302" s="3">
        <v>0</v>
      </c>
      <c r="H302" s="3">
        <v>4</v>
      </c>
      <c r="I302" s="3">
        <v>723305.11</v>
      </c>
      <c r="J302">
        <v>0</v>
      </c>
      <c r="K302">
        <v>0</v>
      </c>
      <c r="L302">
        <v>0</v>
      </c>
      <c r="M302">
        <v>0</v>
      </c>
      <c r="N302">
        <f>80932.3403+(A302*1.00478527)+(B302*31.2531946)+(C302*-114994.58)+(D302*908.742526)+(E302*2836.50299)+(F302*-3518.8948)+(G302*22177.7478)+(H302*23748.7981)</f>
        <v>650651.71348846331</v>
      </c>
      <c r="O302">
        <f>I302-N302</f>
        <v>72653.396511536674</v>
      </c>
      <c r="P302">
        <f>O302^2</f>
        <v>5278516024.662569</v>
      </c>
    </row>
    <row r="303" spans="1:16">
      <c r="A303" s="3">
        <v>48438.85</v>
      </c>
      <c r="B303" s="3">
        <v>6992</v>
      </c>
      <c r="C303" s="3">
        <v>3.4000000000000002E-2</v>
      </c>
      <c r="D303" s="3">
        <v>20</v>
      </c>
      <c r="E303" s="3">
        <v>91</v>
      </c>
      <c r="F303" s="3">
        <v>4.3600000000000003</v>
      </c>
      <c r="G303" s="3">
        <v>0</v>
      </c>
      <c r="H303" s="3">
        <v>4.2</v>
      </c>
      <c r="I303" s="3">
        <v>778298.88</v>
      </c>
      <c r="J303">
        <v>0</v>
      </c>
      <c r="K303">
        <v>1</v>
      </c>
      <c r="L303">
        <v>0</v>
      </c>
      <c r="M303">
        <v>0</v>
      </c>
      <c r="N303">
        <f>80932.3403+(A303*1.00478527)+(B303*31.2531946)+(C303*-114994.58)+(D303*908.742526)+(E303*2836.50299)+(F303*-3518.8948)+(G303*22177.7478)+(H303*23748.7981)</f>
        <v>704914.69750093948</v>
      </c>
      <c r="O303">
        <f>I303-N303</f>
        <v>73384.182499060524</v>
      </c>
      <c r="P303">
        <f>O303^2</f>
        <v>5385238241.0554209</v>
      </c>
    </row>
    <row r="304" spans="1:16">
      <c r="A304" s="3">
        <v>57360.01</v>
      </c>
      <c r="B304" s="3">
        <v>8434</v>
      </c>
      <c r="C304" s="3">
        <v>0.151</v>
      </c>
      <c r="D304" s="3">
        <v>19</v>
      </c>
      <c r="E304" s="3">
        <v>84.1</v>
      </c>
      <c r="F304" s="3">
        <v>1.56</v>
      </c>
      <c r="G304" s="3">
        <v>0</v>
      </c>
      <c r="H304" s="3">
        <v>4.7</v>
      </c>
      <c r="I304" s="3">
        <v>820519.04</v>
      </c>
      <c r="J304">
        <v>0</v>
      </c>
      <c r="K304">
        <v>0</v>
      </c>
      <c r="L304">
        <v>0</v>
      </c>
      <c r="M304">
        <v>0</v>
      </c>
      <c r="N304">
        <f>80932.3403+(A304*1.00478527)+(B304*31.2531946)+(C304*-114994.58)+(D304*908.742526)+(E304*2836.50299)+(F304*-3518.8948)+(G304*22177.7478)+(H304*23748.7981)</f>
        <v>746737.97974645277</v>
      </c>
      <c r="O304">
        <f>I304-N304</f>
        <v>73781.060253547272</v>
      </c>
      <c r="P304">
        <f>O304^2</f>
        <v>5443644852.1375732</v>
      </c>
    </row>
    <row r="305" spans="1:16">
      <c r="A305" s="3">
        <v>72731.14</v>
      </c>
      <c r="B305" s="3">
        <v>4644</v>
      </c>
      <c r="C305" s="3">
        <v>8.4000000000000005E-2</v>
      </c>
      <c r="D305" s="3">
        <v>15</v>
      </c>
      <c r="E305" s="3">
        <v>87.1</v>
      </c>
      <c r="F305" s="3">
        <v>2.66</v>
      </c>
      <c r="G305" s="3">
        <v>0</v>
      </c>
      <c r="H305" s="3">
        <v>4.5999999999999996</v>
      </c>
      <c r="I305" s="3">
        <v>727241.86</v>
      </c>
      <c r="J305">
        <v>0</v>
      </c>
      <c r="K305">
        <v>0</v>
      </c>
      <c r="L305">
        <v>1</v>
      </c>
      <c r="M305">
        <v>0</v>
      </c>
      <c r="N305">
        <f>80932.3403+(A305*1.00478527)+(B305*31.2531946)+(C305*-114994.58)+(D305*908.742526)+(E305*2836.50299)+(F305*-3518.8948)+(G305*22177.7478)+(H305*23748.7981)</f>
        <v>650066.56885570777</v>
      </c>
      <c r="O305">
        <f>I305-N305</f>
        <v>77175.29114429222</v>
      </c>
      <c r="P305">
        <f>O305^2</f>
        <v>5956025563.2062693</v>
      </c>
    </row>
    <row r="306" spans="1:16">
      <c r="A306" s="3">
        <v>56918.16</v>
      </c>
      <c r="B306" s="3">
        <v>7015</v>
      </c>
      <c r="C306" s="3">
        <v>0.158</v>
      </c>
      <c r="D306" s="3">
        <v>18</v>
      </c>
      <c r="E306" s="3">
        <v>74.2</v>
      </c>
      <c r="F306" s="3">
        <v>0.2</v>
      </c>
      <c r="G306" s="3">
        <v>0</v>
      </c>
      <c r="H306" s="3">
        <v>3.4</v>
      </c>
      <c r="I306" s="3">
        <v>724216.07</v>
      </c>
      <c r="J306">
        <v>1</v>
      </c>
      <c r="K306">
        <v>0</v>
      </c>
      <c r="L306">
        <v>1</v>
      </c>
      <c r="M306">
        <v>0</v>
      </c>
      <c r="N306">
        <f>80932.3403+(A306*1.00478527)+(B306*31.2531946)+(C306*-114994.58)+(D306*908.742526)+(E306*2836.50299)+(F306*-3518.8948)+(G306*22177.7478)+(H306*23748.7981)</f>
        <v>646062.90744850319</v>
      </c>
      <c r="O306">
        <f>I306-N306</f>
        <v>78153.16255149676</v>
      </c>
      <c r="P306">
        <f>O306^2</f>
        <v>6107916816.8006754</v>
      </c>
    </row>
    <row r="307" spans="1:16">
      <c r="A307" s="3">
        <v>67979.88</v>
      </c>
      <c r="B307" s="3">
        <v>11230</v>
      </c>
      <c r="C307" s="3">
        <v>2E-3</v>
      </c>
      <c r="D307" s="3">
        <v>28</v>
      </c>
      <c r="E307" s="3">
        <v>85.3</v>
      </c>
      <c r="F307" s="3">
        <v>7.16</v>
      </c>
      <c r="G307" s="3">
        <v>0</v>
      </c>
      <c r="H307" s="3">
        <v>3.8</v>
      </c>
      <c r="I307" s="3">
        <v>910791.94</v>
      </c>
      <c r="J307">
        <v>1</v>
      </c>
      <c r="K307">
        <v>0</v>
      </c>
      <c r="L307">
        <v>0</v>
      </c>
      <c r="M307">
        <v>0</v>
      </c>
      <c r="N307">
        <f>80932.3403+(A307*1.00478527)+(B307*31.2531946)+(C307*-114994.58)+(D307*908.742526)+(E307*2836.50299)+(F307*-3518.8948)+(G307*22177.7478)+(H307*23748.7981)</f>
        <v>832429.55036536756</v>
      </c>
      <c r="O307">
        <f>I307-N307</f>
        <v>78362.389634632389</v>
      </c>
      <c r="P307">
        <f>O307^2</f>
        <v>6140664109.2499418</v>
      </c>
    </row>
    <row r="308" spans="1:16">
      <c r="A308" s="3">
        <v>80562.81</v>
      </c>
      <c r="B308" s="3">
        <v>7470</v>
      </c>
      <c r="C308" s="3">
        <v>0.17199999999999999</v>
      </c>
      <c r="D308" s="3">
        <v>16</v>
      </c>
      <c r="E308" s="3">
        <v>83.5</v>
      </c>
      <c r="F308" s="3">
        <v>2.29</v>
      </c>
      <c r="G308" s="3">
        <v>0</v>
      </c>
      <c r="H308" s="3">
        <v>3.3</v>
      </c>
      <c r="I308" s="3">
        <v>776922.17</v>
      </c>
      <c r="J308">
        <v>0</v>
      </c>
      <c r="K308">
        <v>1</v>
      </c>
      <c r="L308">
        <v>0</v>
      </c>
      <c r="M308">
        <v>0</v>
      </c>
      <c r="N308">
        <f>80932.3403+(A308*1.00478527)+(B308*31.2531946)+(C308*-114994.58)+(D308*908.742526)+(E308*2836.50299)+(F308*-3518.8948)+(G308*22177.7478)+(H308*23748.7981)</f>
        <v>697263.60571880883</v>
      </c>
      <c r="O308">
        <f>I308-N308</f>
        <v>79658.564281191211</v>
      </c>
      <c r="P308">
        <f>O308^2</f>
        <v>6345486863.3406725</v>
      </c>
    </row>
    <row r="309" spans="1:16">
      <c r="A309" s="3">
        <v>23254.57</v>
      </c>
      <c r="B309" s="3">
        <v>3847</v>
      </c>
      <c r="C309" s="3">
        <v>0.159</v>
      </c>
      <c r="D309" s="3">
        <v>12</v>
      </c>
      <c r="E309" s="3">
        <v>93</v>
      </c>
      <c r="F309" s="3">
        <v>5.46</v>
      </c>
      <c r="G309" s="3">
        <v>0</v>
      </c>
      <c r="H309" s="3">
        <v>3.3</v>
      </c>
      <c r="I309" s="3">
        <v>620973.03</v>
      </c>
      <c r="J309">
        <v>1</v>
      </c>
      <c r="K309">
        <v>0</v>
      </c>
      <c r="L309">
        <v>1</v>
      </c>
      <c r="M309">
        <v>0</v>
      </c>
      <c r="N309">
        <f>80932.3403+(A309*1.00478527)+(B309*31.2531946)+(C309*-114994.58)+(D309*908.742526)+(E309*2836.50299)+(F309*-3518.8948)+(G309*22177.7478)+(H309*23748.7981)</f>
        <v>540102.64760638389</v>
      </c>
      <c r="O309">
        <f>I309-N309</f>
        <v>80870.382393616135</v>
      </c>
      <c r="P309">
        <f>O309^2</f>
        <v>6540018748.4896984</v>
      </c>
    </row>
    <row r="310" spans="1:16">
      <c r="A310" s="3">
        <v>69900.12</v>
      </c>
      <c r="B310" s="3">
        <v>8055</v>
      </c>
      <c r="C310" s="3">
        <v>0.28100000000000003</v>
      </c>
      <c r="D310" s="3">
        <v>22</v>
      </c>
      <c r="E310" s="3">
        <v>85.6</v>
      </c>
      <c r="F310" s="3">
        <v>10.68</v>
      </c>
      <c r="G310" s="3">
        <v>1</v>
      </c>
      <c r="H310" s="3">
        <v>2.9</v>
      </c>
      <c r="I310" s="3">
        <v>776992.93</v>
      </c>
      <c r="J310">
        <v>0</v>
      </c>
      <c r="K310">
        <v>1</v>
      </c>
      <c r="L310">
        <v>0</v>
      </c>
      <c r="M310">
        <v>0</v>
      </c>
      <c r="N310">
        <f>80932.3403+(A310*1.00478527)+(B310*31.2531946)+(C310*-114994.58)+(D310*908.742526)+(E310*2836.50299)+(F310*-3518.8948)+(G310*22177.7478)+(H310*23748.7981)</f>
        <v>686862.41411223239</v>
      </c>
      <c r="O310">
        <f>I310-N310</f>
        <v>90130.515887767659</v>
      </c>
      <c r="P310">
        <f>O310^2</f>
        <v>8123509894.195138</v>
      </c>
    </row>
    <row r="311" spans="1:16">
      <c r="A311" s="3">
        <v>74881.56</v>
      </c>
      <c r="B311" s="3">
        <v>9999</v>
      </c>
      <c r="C311" s="3">
        <v>1.2999999999999999E-2</v>
      </c>
      <c r="D311" s="3">
        <v>20</v>
      </c>
      <c r="E311" s="3">
        <v>89.6</v>
      </c>
      <c r="F311" s="3">
        <v>8.44</v>
      </c>
      <c r="G311" s="3">
        <v>0</v>
      </c>
      <c r="H311" s="3">
        <v>4.0999999999999996</v>
      </c>
      <c r="I311" s="3">
        <v>898031.04</v>
      </c>
      <c r="J311">
        <v>0</v>
      </c>
      <c r="K311">
        <v>0</v>
      </c>
      <c r="L311">
        <v>0</v>
      </c>
      <c r="M311">
        <v>0</v>
      </c>
      <c r="N311">
        <f>80932.3403+(A311*1.00478527)+(B311*31.2531946)+(C311*-114994.58)+(D311*908.742526)+(E311*2836.50299)+(F311*-3518.8948)+(G311*22177.7478)+(H311*23748.7981)</f>
        <v>807174.11057002121</v>
      </c>
      <c r="O311">
        <f>I311-N311</f>
        <v>90856.929429978831</v>
      </c>
      <c r="P311">
        <f>O311^2</f>
        <v>8254981625.4441538</v>
      </c>
    </row>
    <row r="312" spans="1:16">
      <c r="A312" s="3">
        <v>78111.97</v>
      </c>
      <c r="B312" s="3">
        <v>6389</v>
      </c>
      <c r="C312" s="3">
        <v>0.15</v>
      </c>
      <c r="D312" s="3">
        <v>13</v>
      </c>
      <c r="E312" s="3">
        <v>83.9</v>
      </c>
      <c r="F312" s="3">
        <v>3.05</v>
      </c>
      <c r="G312" s="3">
        <v>0</v>
      </c>
      <c r="H312" s="3">
        <v>4.8</v>
      </c>
      <c r="I312" s="3">
        <v>787715.51</v>
      </c>
      <c r="J312">
        <v>0</v>
      </c>
      <c r="K312">
        <v>0</v>
      </c>
      <c r="L312">
        <v>0</v>
      </c>
      <c r="M312">
        <v>0</v>
      </c>
      <c r="N312">
        <f>80932.3403+(A312*1.00478527)+(B312*31.2531946)+(C312*-114994.58)+(D312*908.742526)+(E312*2836.50299)+(F312*-3518.8948)+(G312*22177.7478)+(H312*23748.7981)</f>
        <v>694903.42590508191</v>
      </c>
      <c r="O312">
        <f>I312-N312</f>
        <v>92812.0840949181</v>
      </c>
      <c r="P312">
        <f>O312^2</f>
        <v>8614082954.0421486</v>
      </c>
    </row>
    <row r="313" spans="1:16">
      <c r="A313" s="3">
        <v>55477.61</v>
      </c>
      <c r="B313" s="3">
        <v>5903</v>
      </c>
      <c r="C313" s="3">
        <v>0.10199999999999999</v>
      </c>
      <c r="D313" s="3">
        <v>14</v>
      </c>
      <c r="E313" s="3">
        <v>96.2</v>
      </c>
      <c r="F313" s="3">
        <v>1.41</v>
      </c>
      <c r="G313" s="3">
        <v>0</v>
      </c>
      <c r="H313" s="3">
        <v>3.3</v>
      </c>
      <c r="I313" s="3">
        <v>763162.45</v>
      </c>
      <c r="J313">
        <v>0</v>
      </c>
      <c r="K313">
        <v>0</v>
      </c>
      <c r="L313">
        <v>0</v>
      </c>
      <c r="M313">
        <v>0</v>
      </c>
      <c r="N313">
        <f>80932.3403+(A313*1.00478527)+(B313*31.2531946)+(C313*-114994.58)+(D313*908.742526)+(E313*2836.50299)+(F313*-3518.8948)+(G313*22177.7478)+(H313*23748.7981)</f>
        <v>668436.96127060475</v>
      </c>
      <c r="O313">
        <f>I313-N313</f>
        <v>94725.488729395205</v>
      </c>
      <c r="P313">
        <f>O313^2</f>
        <v>8972918215.0227776</v>
      </c>
    </row>
    <row r="314" spans="1:16">
      <c r="A314" s="3">
        <v>64294.23</v>
      </c>
      <c r="B314" s="3">
        <v>6992</v>
      </c>
      <c r="C314" s="3">
        <v>0.13300000000000001</v>
      </c>
      <c r="D314" s="3">
        <v>14</v>
      </c>
      <c r="E314" s="3">
        <v>94.1</v>
      </c>
      <c r="F314" s="3">
        <v>0.25</v>
      </c>
      <c r="G314" s="3">
        <v>0</v>
      </c>
      <c r="H314" s="3">
        <v>3</v>
      </c>
      <c r="I314" s="3">
        <v>795153.84</v>
      </c>
      <c r="J314">
        <v>0</v>
      </c>
      <c r="K314">
        <v>0</v>
      </c>
      <c r="L314">
        <v>0</v>
      </c>
      <c r="M314">
        <v>0</v>
      </c>
      <c r="N314">
        <f>80932.3403+(A314*1.00478527)+(B314*31.2531946)+(C314*-114994.58)+(D314*908.742526)+(E314*2836.50299)+(F314*-3518.8948)+(G314*22177.7478)+(H314*23748.7981)</f>
        <v>698766.29037619219</v>
      </c>
      <c r="O314">
        <f>I314-N314</f>
        <v>96387.549623807776</v>
      </c>
      <c r="P314">
        <f>O314^2</f>
        <v>9290559722.4820061</v>
      </c>
    </row>
    <row r="315" spans="1:16">
      <c r="A315" s="3">
        <v>71838.86</v>
      </c>
      <c r="B315" s="3">
        <v>10979</v>
      </c>
      <c r="C315" s="3">
        <v>0.215</v>
      </c>
      <c r="D315" s="3">
        <v>26</v>
      </c>
      <c r="E315" s="3">
        <v>88.6</v>
      </c>
      <c r="F315" s="3">
        <v>7.7</v>
      </c>
      <c r="G315" s="3">
        <v>1</v>
      </c>
      <c r="H315" s="3">
        <v>3.8</v>
      </c>
      <c r="I315" s="3">
        <v>930581.7</v>
      </c>
      <c r="J315">
        <v>1</v>
      </c>
      <c r="K315">
        <v>0</v>
      </c>
      <c r="L315">
        <v>0</v>
      </c>
      <c r="M315">
        <v>0</v>
      </c>
      <c r="N315">
        <f>80932.3403+(A315*1.00478527)+(B315*31.2531946)+(C315*-114994.58)+(D315*908.742526)+(E315*2836.50299)+(F315*-3518.8948)+(G315*22177.7478)+(H315*23748.7981)</f>
        <v>831789.11866499216</v>
      </c>
      <c r="O315">
        <f>I315-N315</f>
        <v>98792.581335007795</v>
      </c>
      <c r="P315">
        <f>O315^2</f>
        <v>9759974126.8341312</v>
      </c>
    </row>
    <row r="316" spans="1:16">
      <c r="A316" s="3">
        <v>29389.32</v>
      </c>
      <c r="B316" s="3">
        <v>7925</v>
      </c>
      <c r="C316" s="3">
        <v>0.17699999999999999</v>
      </c>
      <c r="D316" s="3">
        <v>21</v>
      </c>
      <c r="E316" s="3">
        <v>90.9</v>
      </c>
      <c r="F316" s="3">
        <v>7.86</v>
      </c>
      <c r="G316" s="3">
        <v>0</v>
      </c>
      <c r="H316" s="3">
        <v>4</v>
      </c>
      <c r="I316" s="3">
        <v>783582</v>
      </c>
      <c r="J316">
        <v>0</v>
      </c>
      <c r="K316">
        <v>0</v>
      </c>
      <c r="L316">
        <v>0</v>
      </c>
      <c r="M316">
        <v>0</v>
      </c>
      <c r="N316">
        <f>80932.3403+(A316*1.00478527)+(B316*31.2531946)+(C316*-114994.58)+(D316*908.742526)+(E316*2836.50299)+(F316*-3518.8948)+(G316*22177.7478)+(H316*23748.7981)</f>
        <v>682048.21678531636</v>
      </c>
      <c r="O316">
        <f>I316-N316</f>
        <v>101533.78321468364</v>
      </c>
      <c r="P316">
        <f>O316^2</f>
        <v>10309109133.886374</v>
      </c>
    </row>
    <row r="317" spans="1:16">
      <c r="A317" s="3">
        <v>78839.39</v>
      </c>
      <c r="B317" s="3">
        <v>5150</v>
      </c>
      <c r="C317" s="3">
        <v>0.17100000000000001</v>
      </c>
      <c r="D317" s="3">
        <v>13</v>
      </c>
      <c r="E317" s="3">
        <v>85.8</v>
      </c>
      <c r="F317" s="3">
        <v>7.57</v>
      </c>
      <c r="G317" s="3">
        <v>0</v>
      </c>
      <c r="H317" s="3">
        <v>4.3</v>
      </c>
      <c r="I317" s="3">
        <v>735509.4</v>
      </c>
      <c r="J317">
        <v>0</v>
      </c>
      <c r="K317">
        <v>0</v>
      </c>
      <c r="L317">
        <v>1</v>
      </c>
      <c r="M317">
        <v>0</v>
      </c>
      <c r="N317">
        <f>80932.3403+(A317*1.00478527)+(B317*31.2531946)+(C317*-114994.58)+(D317*908.742526)+(E317*2836.50299)+(F317*-3518.8948)+(G317*22177.7478)+(H317*23748.7981)</f>
        <v>632106.28465178527</v>
      </c>
      <c r="O317">
        <f>I317-N317</f>
        <v>103403.11534821475</v>
      </c>
      <c r="P317">
        <f>O317^2</f>
        <v>10692204263.716206</v>
      </c>
    </row>
    <row r="318" spans="1:16">
      <c r="A318" s="3">
        <v>52758.01</v>
      </c>
      <c r="B318" s="3">
        <v>4063</v>
      </c>
      <c r="C318" s="3">
        <v>5.7000000000000002E-2</v>
      </c>
      <c r="D318" s="3">
        <v>12</v>
      </c>
      <c r="E318" s="3">
        <v>91.7</v>
      </c>
      <c r="F318" s="3">
        <v>0.92</v>
      </c>
      <c r="G318" s="3">
        <v>0</v>
      </c>
      <c r="H318" s="3">
        <v>3.5</v>
      </c>
      <c r="I318" s="3">
        <v>713611.16</v>
      </c>
      <c r="J318">
        <v>0</v>
      </c>
      <c r="K318">
        <v>0</v>
      </c>
      <c r="L318">
        <v>1</v>
      </c>
      <c r="M318">
        <v>0</v>
      </c>
      <c r="N318">
        <f>80932.3403+(A318*1.00478527)+(B318*31.2531946)+(C318*-114994.58)+(D318*908.742526)+(E318*2836.50299)+(F318*-3518.8948)+(G318*22177.7478)+(H318*23748.7981)</f>
        <v>605265.49485131272</v>
      </c>
      <c r="O318">
        <f>I318-N318</f>
        <v>108345.66514868732</v>
      </c>
      <c r="P318">
        <f>O318^2</f>
        <v>11738783156.511477</v>
      </c>
    </row>
    <row r="319" spans="1:16">
      <c r="A319" s="3">
        <v>38297.58</v>
      </c>
      <c r="B319" s="3">
        <v>5893</v>
      </c>
      <c r="C319" s="3">
        <v>0.247</v>
      </c>
      <c r="D319" s="3">
        <v>18</v>
      </c>
      <c r="E319" s="3">
        <v>77.599999999999994</v>
      </c>
      <c r="F319" s="3">
        <v>2.86</v>
      </c>
      <c r="G319" s="3">
        <v>0</v>
      </c>
      <c r="H319" s="3">
        <v>3</v>
      </c>
      <c r="I319" s="3">
        <v>686737.87</v>
      </c>
      <c r="J319">
        <v>0</v>
      </c>
      <c r="K319">
        <v>0</v>
      </c>
      <c r="L319">
        <v>0</v>
      </c>
      <c r="M319">
        <v>0</v>
      </c>
      <c r="N319">
        <f>80932.3403+(A319*1.00478527)+(B319*31.2531946)+(C319*-114994.58)+(D319*908.742526)+(E319*2836.50299)+(F319*-3518.8948)+(G319*22177.7478)+(H319*23748.7981)</f>
        <v>572836.95174244663</v>
      </c>
      <c r="O319">
        <f>I319-N319</f>
        <v>113900.91825755336</v>
      </c>
      <c r="P319">
        <f>O319^2</f>
        <v>12973419179.913853</v>
      </c>
    </row>
    <row r="320" spans="1:16">
      <c r="A320" s="3">
        <v>63582.11</v>
      </c>
      <c r="B320" s="3">
        <v>6856</v>
      </c>
      <c r="C320" s="3">
        <v>7.3999999999999996E-2</v>
      </c>
      <c r="D320" s="3">
        <v>17</v>
      </c>
      <c r="E320" s="3">
        <v>89.5</v>
      </c>
      <c r="F320" s="3">
        <v>5.48</v>
      </c>
      <c r="G320" s="3">
        <v>0</v>
      </c>
      <c r="H320" s="3">
        <v>3.2</v>
      </c>
      <c r="I320" s="3">
        <v>799046.94</v>
      </c>
      <c r="J320">
        <v>0</v>
      </c>
      <c r="K320">
        <v>1</v>
      </c>
      <c r="L320">
        <v>0</v>
      </c>
      <c r="M320">
        <v>0</v>
      </c>
      <c r="N320">
        <f>80932.3403+(A320*1.00478527)+(B320*31.2531946)+(C320*-114994.58)+(D320*908.742526)+(E320*2836.50299)+(F320*-3518.8948)+(G320*22177.7478)+(H320*23748.7981)</f>
        <v>676609.26208411972</v>
      </c>
      <c r="O320">
        <f>I320-N320</f>
        <v>122437.67791588022</v>
      </c>
      <c r="P320">
        <f>O320^2</f>
        <v>14990984973.432823</v>
      </c>
    </row>
    <row r="321" spans="1:16">
      <c r="A321" s="3">
        <v>113736</v>
      </c>
      <c r="B321" s="3">
        <v>8961</v>
      </c>
      <c r="C321" s="3">
        <v>0.20200000000000001</v>
      </c>
      <c r="D321" s="3">
        <v>24</v>
      </c>
      <c r="E321" s="3">
        <v>86.2</v>
      </c>
      <c r="F321" s="3">
        <v>21.63</v>
      </c>
      <c r="G321" s="3">
        <v>0</v>
      </c>
      <c r="H321" s="3">
        <v>4</v>
      </c>
      <c r="I321" s="3">
        <v>870937.4</v>
      </c>
      <c r="J321">
        <v>0</v>
      </c>
      <c r="K321">
        <v>0</v>
      </c>
      <c r="L321">
        <v>0</v>
      </c>
      <c r="M321">
        <v>0</v>
      </c>
      <c r="N321">
        <f>80932.3403+(A321*1.00478527)+(B321*31.2531946)+(C321*-114994.58)+(D321*908.742526)+(E321*2836.50299)+(F321*-3518.8948)+(G321*22177.7478)+(H321*23748.7981)</f>
        <v>737241.44565732009</v>
      </c>
      <c r="O321">
        <f>I321-N321</f>
        <v>133695.95434267994</v>
      </c>
      <c r="P321">
        <f>O321^2</f>
        <v>17874608207.599957</v>
      </c>
    </row>
  </sheetData>
  <sortState ref="A2:P321">
    <sortCondition ref="O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B9" sqref="B9"/>
    </sheetView>
  </sheetViews>
  <sheetFormatPr defaultRowHeight="14.25"/>
  <cols>
    <col min="1" max="1" width="16.5" bestFit="1" customWidth="1"/>
    <col min="2" max="2" width="11.875" bestFit="1" customWidth="1"/>
    <col min="3" max="3" width="13" customWidth="1"/>
    <col min="4" max="4" width="11.75" customWidth="1"/>
    <col min="5" max="5" width="15.875" customWidth="1"/>
    <col min="9" max="9" width="30" customWidth="1"/>
  </cols>
  <sheetData>
    <row r="1" spans="1:9" ht="30">
      <c r="A1" s="18" t="s">
        <v>148</v>
      </c>
      <c r="B1" s="18" t="s">
        <v>125</v>
      </c>
      <c r="C1" s="18" t="s">
        <v>126</v>
      </c>
      <c r="D1" s="18" t="s">
        <v>127</v>
      </c>
      <c r="E1" s="18" t="s">
        <v>138</v>
      </c>
      <c r="F1" s="18" t="s">
        <v>153</v>
      </c>
      <c r="I1" s="17"/>
    </row>
    <row r="2" spans="1:9" ht="15">
      <c r="A2" s="19" t="s">
        <v>149</v>
      </c>
      <c r="B2" s="20">
        <v>0.14000228137240908</v>
      </c>
      <c r="C2" s="20">
        <v>0.13122679444763774</v>
      </c>
      <c r="D2" s="20">
        <v>103509.23759925732</v>
      </c>
      <c r="E2" s="20">
        <v>1.2560384538069417E-4</v>
      </c>
      <c r="F2" s="19" t="s">
        <v>151</v>
      </c>
    </row>
    <row r="3" spans="1:9" ht="15">
      <c r="A3" s="19" t="s">
        <v>150</v>
      </c>
      <c r="B3" s="20">
        <v>0.82723547310377643</v>
      </c>
      <c r="C3" s="20">
        <v>0.81204738282718536</v>
      </c>
      <c r="D3" s="20">
        <v>48144.877885021822</v>
      </c>
      <c r="E3" s="21">
        <v>2.0638172260612103E-31</v>
      </c>
      <c r="F3" s="19" t="s">
        <v>152</v>
      </c>
    </row>
    <row r="4" spans="1:9">
      <c r="B4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102</v>
      </c>
      <c r="B1" s="1" t="s">
        <v>103</v>
      </c>
    </row>
    <row r="2" spans="1:2">
      <c r="A2" s="5" t="s">
        <v>0</v>
      </c>
      <c r="B2" s="5" t="s">
        <v>104</v>
      </c>
    </row>
    <row r="3" spans="1:2">
      <c r="A3" s="5" t="s">
        <v>1</v>
      </c>
      <c r="B3" s="5" t="s">
        <v>105</v>
      </c>
    </row>
    <row r="4" spans="1:2">
      <c r="A4" s="5" t="s">
        <v>2</v>
      </c>
      <c r="B4" s="5" t="s">
        <v>106</v>
      </c>
    </row>
    <row r="5" spans="1:2" ht="28.5">
      <c r="A5" s="5" t="s">
        <v>3</v>
      </c>
      <c r="B5" s="5" t="s">
        <v>107</v>
      </c>
    </row>
    <row r="6" spans="1:2" ht="28.5">
      <c r="A6" s="5" t="s">
        <v>4</v>
      </c>
      <c r="B6" s="5" t="s">
        <v>108</v>
      </c>
    </row>
    <row r="7" spans="1:2">
      <c r="A7" s="5" t="s">
        <v>5</v>
      </c>
      <c r="B7" s="5" t="s">
        <v>109</v>
      </c>
    </row>
    <row r="8" spans="1:2" ht="28.5">
      <c r="A8" s="5" t="s">
        <v>6</v>
      </c>
      <c r="B8" s="5" t="s">
        <v>110</v>
      </c>
    </row>
    <row r="9" spans="1:2">
      <c r="A9" s="5" t="s">
        <v>7</v>
      </c>
      <c r="B9" s="5" t="s">
        <v>111</v>
      </c>
    </row>
    <row r="10" spans="1:2" ht="28.5">
      <c r="A10" s="5" t="s">
        <v>8</v>
      </c>
      <c r="B10" s="5" t="s">
        <v>112</v>
      </c>
    </row>
    <row r="11" spans="1:2">
      <c r="A11" s="5" t="s">
        <v>9</v>
      </c>
      <c r="B11" s="5" t="s">
        <v>113</v>
      </c>
    </row>
    <row r="12" spans="1:2" ht="42.75">
      <c r="A12" s="5" t="s">
        <v>10</v>
      </c>
      <c r="B12" s="5" t="s">
        <v>114</v>
      </c>
    </row>
    <row r="13" spans="1:2">
      <c r="A13" s="5" t="s">
        <v>11</v>
      </c>
      <c r="B13" s="5" t="s">
        <v>115</v>
      </c>
    </row>
    <row r="14" spans="1:2" ht="28.5">
      <c r="A14" s="5" t="s">
        <v>12</v>
      </c>
      <c r="B14" s="5" t="s">
        <v>116</v>
      </c>
    </row>
    <row r="15" spans="1:2" ht="28.5">
      <c r="A15" s="5" t="s">
        <v>13</v>
      </c>
      <c r="B15" s="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store_performance</vt:lpstr>
      <vt:lpstr>Cleaned_store_performance</vt:lpstr>
      <vt:lpstr>Dummy_Variables</vt:lpstr>
      <vt:lpstr>Multiple Regression</vt:lpstr>
      <vt:lpstr>Sheet1</vt:lpstr>
      <vt:lpstr>Simple_regression_1st</vt:lpstr>
      <vt:lpstr>Simple_Regression_2nd</vt:lpstr>
      <vt:lpstr>Predictions_Residuals</vt:lpstr>
      <vt:lpstr>Model_Comparison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Agarwal</dc:creator>
  <cp:lastModifiedBy>hp</cp:lastModifiedBy>
  <dcterms:created xsi:type="dcterms:W3CDTF">2026-06-27T10:31:56Z</dcterms:created>
  <dcterms:modified xsi:type="dcterms:W3CDTF">2026-06-28T04:57:20Z</dcterms:modified>
</cp:coreProperties>
</file>